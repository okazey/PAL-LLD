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LIVINGLAB\"/>
    </mc:Choice>
  </mc:AlternateContent>
  <xr:revisionPtr revIDLastSave="0" documentId="13_ncr:1_{E9929FB3-293A-40DD-B6FF-250C4E20BBD7}" xr6:coauthVersionLast="47" xr6:coauthVersionMax="47" xr10:uidLastSave="{00000000-0000-0000-0000-000000000000}"/>
  <bookViews>
    <workbookView xWindow="28680" yWindow="-120" windowWidth="20640" windowHeight="11040" activeTab="1" xr2:uid="{00000000-000D-0000-FFFF-FFFF00000000}"/>
  </bookViews>
  <sheets>
    <sheet name="PLAN D'ACTION DANGALMA" sheetId="1" r:id="rId1"/>
    <sheet name="GANNT" sheetId="2" r:id="rId2"/>
  </sheets>
  <calcPr calcId="191029" concurrentCalc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K35" i="1"/>
  <c r="J35" i="1"/>
  <c r="I35" i="1"/>
  <c r="H35" i="1"/>
</calcChain>
</file>

<file path=xl/sharedStrings.xml><?xml version="1.0" encoding="utf-8"?>
<sst xmlns="http://schemas.openxmlformats.org/spreadsheetml/2006/main" count="343" uniqueCount="147">
  <si>
    <t>ACTIONS</t>
  </si>
  <si>
    <t>REFERENCE ACTIVITES</t>
  </si>
  <si>
    <t>ACTIVITES</t>
  </si>
  <si>
    <t>ECHEANCIERS</t>
  </si>
  <si>
    <t>RESULTATS ATTENDUS</t>
  </si>
  <si>
    <t>ACTEURS</t>
  </si>
  <si>
    <t>RESPONSABLE</t>
  </si>
  <si>
    <t>RELIQUAT 2015</t>
  </si>
  <si>
    <t>ALLOCATIONS 2016</t>
  </si>
  <si>
    <t>Tous les nouveaux bacheliers ont les pré-requis nécessaires pour suivre correctement les enseignements</t>
  </si>
  <si>
    <t>" - Directeurs d'UFR - Points focaux - Enseignants de l'UFR - Etudiants - Service pédagogique</t>
  </si>
  <si>
    <t xml:space="preserve">Directeur UFR/SDD </t>
  </si>
  <si>
    <t>1er semestre : Avril 2016 et 2nd semestre août 2016</t>
  </si>
  <si>
    <t>Les étudiants sont bien préparés pour passer les sessions d'examen</t>
  </si>
  <si>
    <t>Directeur UFR/ECOMIJ</t>
  </si>
  <si>
    <t>Les nouveaux bacheliers sont conscients de la nécessité d'avoir un projet d'étude et sont formés sur d'autres méthodes d'apprentissage</t>
  </si>
  <si>
    <t xml:space="preserve">VRE </t>
  </si>
  <si>
    <t>1er semestre: mars 2016 et 2nd semestre juillet 2016</t>
  </si>
  <si>
    <t>Les étudiants en difficulté sont pris très tôt afin de prevenir le risque de décrochage et de les aider à obtenir un niveau correct.</t>
  </si>
  <si>
    <t>" - Directeurs d'UFR - Points focaux - Enseignants de l'UFR - Etudiants - Service pédagogique, Responsable d'objectif</t>
  </si>
  <si>
    <t xml:space="preserve">Directeur UFR/SATIC </t>
  </si>
  <si>
    <t>aménagement achevé</t>
  </si>
  <si>
    <t>Cellule de Passation des Marchés, responsable BAIO</t>
  </si>
  <si>
    <t>Responsable BAIO</t>
  </si>
  <si>
    <t>BAIO, logiciel de catalogage fonctionnel, fonds documentaire sécurisé, lamelles magnétiques, portique anti vol acquis</t>
  </si>
  <si>
    <t>Fonds de Développement du Service Universel des Télécommunications</t>
  </si>
  <si>
    <t>LIVINGLAB DE DANGALMA</t>
  </si>
  <si>
    <t xml:space="preserve">PLAN D'ACTION PRIORITAIRE </t>
  </si>
  <si>
    <t xml:space="preserve">DETAILS COUTS PREVISIONNELS </t>
  </si>
  <si>
    <t>DECAISSE</t>
  </si>
  <si>
    <t>RELIQUAT</t>
  </si>
  <si>
    <t>Analyse des besoins et des ressources</t>
  </si>
  <si>
    <t>Conception de la plateforme</t>
  </si>
  <si>
    <t>Développement et intégration</t>
  </si>
  <si>
    <t>Tests et améliorations</t>
  </si>
  <si>
    <t>Formation des agriculteurs</t>
  </si>
  <si>
    <t>Communication et sensibilisation</t>
  </si>
  <si>
    <t>Suivi et évaluation</t>
  </si>
  <si>
    <t>Projet 05: Plateforme de formation en ligne pour les agriculteurs de la région de Diourbel</t>
  </si>
  <si>
    <t>5.1.1</t>
  </si>
  <si>
    <t>5.1.2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</si>
  <si>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</si>
  <si>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</si>
  <si>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</si>
  <si>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</si>
  <si>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</si>
  <si>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</si>
  <si>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</si>
  <si>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</si>
  <si>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5.4.1</t>
  </si>
  <si>
    <t>5.4.2</t>
  </si>
  <si>
    <t>5.4.3</t>
  </si>
  <si>
    <t>5.4.4</t>
  </si>
  <si>
    <t>5.5.1</t>
  </si>
  <si>
    <t>5.5.2</t>
  </si>
  <si>
    <t>5.5.3</t>
  </si>
  <si>
    <t>5.5.4</t>
  </si>
  <si>
    <t>5.6.1</t>
  </si>
  <si>
    <t>5.6.2</t>
  </si>
  <si>
    <t>5.6.3</t>
  </si>
  <si>
    <t>5.6.4</t>
  </si>
  <si>
    <t>Partenariats avec les médias locaux</t>
  </si>
  <si>
    <t>5.7.1</t>
  </si>
  <si>
    <t>5.7.2</t>
  </si>
  <si>
    <t>5.7.3</t>
  </si>
  <si>
    <t>5.7.4</t>
  </si>
  <si>
    <t>Sous-total projet 5</t>
  </si>
  <si>
    <t> Recrutement d’un expert en formation en ligne( conception et maintenance)</t>
  </si>
  <si>
    <t>Rédaction du cahier des charges technique</t>
  </si>
  <si>
    <t>Sélection et Achat de logiciels (CMS et Thèmes et extensions)</t>
  </si>
  <si>
    <t xml:space="preserve"> Organisation d’ateliers participatifs avec les agriculteurs</t>
  </si>
  <si>
    <t xml:space="preserve"> Design UX/UI pour la plateforme</t>
  </si>
  <si>
    <t xml:space="preserve"> Définition du parcours pédagogique</t>
  </si>
  <si>
    <t xml:space="preserve"> Intégration des contenus pédagogiques</t>
  </si>
  <si>
    <t xml:space="preserve"> Test d’interopérabilité avec différents appareils</t>
  </si>
  <si>
    <t xml:space="preserve"> Sécurisation du site web (certificats SSL)</t>
  </si>
  <si>
    <t xml:space="preserve">	 Tests utilisateurs pour recueillir les feedbacks</t>
  </si>
  <si>
    <t xml:space="preserve"> Correction des bugs identifiés</t>
  </si>
  <si>
    <t xml:space="preserve"> Optimisation de l’interface utilisateur</t>
  </si>
  <si>
    <t xml:space="preserve"> Mise à jour technologique postlancement</t>
  </si>
  <si>
    <t xml:space="preserve"> Création de modules elearning spécifiques à l’agriculture locale</t>
  </si>
  <si>
    <t xml:space="preserve"> Organisation de sessions de formation en présentiel ou virtuel</t>
  </si>
  <si>
    <t xml:space="preserve"> Distribution du matériel didactique (guides pratiques) aux participants</t>
  </si>
  <si>
    <t xml:space="preserve"> Support technique et pédagogique continu</t>
  </si>
  <si>
    <t xml:space="preserve"> Campagne de communication (affiches, réseaux sociaux)</t>
  </si>
  <si>
    <t xml:space="preserve"> Organisation de journées portes ouvertes</t>
  </si>
  <si>
    <t xml:space="preserve"> Création de contenu promotionnel (vidéos, brochures)</t>
  </si>
  <si>
    <t xml:space="preserve"> Évaluation périodique des progrès</t>
  </si>
  <si>
    <t xml:space="preserve"> Rapports d’impact et d’amélioration</t>
  </si>
  <si>
    <t xml:space="preserve"> Réunions de suivi avec les parties prenantes</t>
  </si>
  <si>
    <t xml:space="preserve"> Mise en place d’indicateurs de performance</t>
  </si>
  <si>
    <t>Mise en lign de la palteforme (vps, biggluebutton, noms de domaines)</t>
  </si>
  <si>
    <t>Activité</t>
  </si>
  <si>
    <t>Novembre 2024</t>
  </si>
  <si>
    <t>Décembre 2024</t>
  </si>
  <si>
    <t>Janvier 2025</t>
  </si>
  <si>
    <t>Février 2025</t>
  </si>
  <si>
    <t>1-30 nov</t>
  </si>
  <si>
    <t/>
  </si>
  <si>
    <t>- Étude de marché et enquête auprès des agriculteurs</t>
  </si>
  <si>
    <t>1-14 nov</t>
  </si>
  <si>
    <t>- Recrutement d’un expert en formation en ligne</t>
  </si>
  <si>
    <t>- Achat de matériel pour l’analyse</t>
  </si>
  <si>
    <t>15-30 nov</t>
  </si>
  <si>
    <t>- Organisation d’ateliers participatifs</t>
  </si>
  <si>
    <t>1-31 déc</t>
  </si>
  <si>
    <t>- Design UX/UI pour la plateforme</t>
  </si>
  <si>
    <t>1-14 déc</t>
  </si>
  <si>
    <t>- Définition du parcours pédagogique</t>
  </si>
  <si>
    <t>- Sélection et achat de logiciels éducatifs</t>
  </si>
  <si>
    <t>15-31 déc</t>
  </si>
  <si>
    <t>- Rédaction du cahier des charges technique</t>
  </si>
  <si>
    <t>1-31 jan</t>
  </si>
  <si>
    <t>- Programmation de la plateforme</t>
  </si>
  <si>
    <t>1-14 jan</t>
  </si>
  <si>
    <t>- Intégration des contenus pédagogiques</t>
  </si>
  <si>
    <t>- Test d’interopérabilité</t>
  </si>
  <si>
    <t>15-31 jan</t>
  </si>
  <si>
    <t>- Sécurisation du site web</t>
  </si>
  <si>
    <t>1-29 fév</t>
  </si>
  <si>
    <t>- Tests utilisateurs</t>
  </si>
  <si>
    <t>1-14 fév</t>
  </si>
  <si>
    <t>- Correction des bugs</t>
  </si>
  <si>
    <t>- Optimisation de l’interface utilisateur</t>
  </si>
  <si>
    <t>15-29 fév</t>
  </si>
  <si>
    <t>- Mise à jour technologique</t>
  </si>
  <si>
    <t>1 nov - 29 fév</t>
  </si>
  <si>
    <t>- Création de modules e-learning</t>
  </si>
  <si>
    <t>- Organisation de sessions de formation</t>
  </si>
  <si>
    <t>- Distribution du matériel didactique</t>
  </si>
  <si>
    <t>- Support technique et pédagogique</t>
  </si>
  <si>
    <t>- Campagne de communication</t>
  </si>
  <si>
    <t>- Organisation de journées portes ouvertes</t>
  </si>
  <si>
    <t>- Création de contenu promotionnel</t>
  </si>
  <si>
    <t>- Partenariats avec les médias locaux</t>
  </si>
  <si>
    <t>- Évaluation périodique des progrès</t>
  </si>
  <si>
    <t>- Rapports d’impact et d’amélioration</t>
  </si>
  <si>
    <t>- Réunions de suivi</t>
  </si>
  <si>
    <t>- Mise en place d’indicateurs de performance</t>
  </si>
  <si>
    <t>Exécution</t>
  </si>
  <si>
    <t>Row Labels</t>
  </si>
  <si>
    <t>Grand Total</t>
  </si>
  <si>
    <t>Activités</t>
  </si>
  <si>
    <t>Count of Novembre 2024</t>
  </si>
  <si>
    <t>Count of Décembre 2024</t>
  </si>
  <si>
    <t>Count of Janvier 2025</t>
  </si>
  <si>
    <t>Count of Février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</si>
</sst>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\ _€_-;\-* #,##0.00\ _€_-;_-* &quot;-&quot;??\ _€_-;_-@_-"/>
    <numFmt numFmtId="165" formatCode="_-* #,##0\ _C_F_A_-;\-* #,##0\ _C_F_A_-;_-* &quot;-&quot;\ _C_F_A_-;_-@_-"/>
    <numFmt numFmtId="166" formatCode="#,##0_ ;\-#,##0\ "/>
    <numFmt numFmtId="167" formatCode="&quot;Actif&quot;;&quot;Actif&quot;;&quot;Inactif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6"/>
      <name val="Times New Roman"/>
      <family val="1"/>
    </font>
    <font>
      <sz val="12"/>
      <color indexed="8"/>
      <name val="Verdan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6"/>
      <name val="Times New Roman"/>
      <family val="1"/>
    </font>
    <font>
      <b/>
      <i/>
      <sz val="26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name val="Times New Roman"/>
      <family val="1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theme="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0"/>
    <xf numFmtId="0" fontId="15" fillId="0" borderId="0" applyNumberFormat="0" applyFill="0" applyBorder="0" applyProtection="0">
      <alignment vertical="top" wrapText="1"/>
    </xf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1" fillId="0" borderId="0"/>
    <xf numFmtId="0" fontId="17" fillId="0" borderId="0"/>
    <xf numFmtId="0" fontId="6" fillId="0" borderId="0"/>
    <xf numFmtId="9" fontId="5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Alignment="1">
      <alignment horizontal="left"/>
    </xf>
    <xf numFmtId="0" fontId="11" fillId="0" borderId="4" xfId="2" applyFont="1" applyBorder="1" applyAlignment="1">
      <alignment horizontal="left" vertical="center"/>
    </xf>
    <xf numFmtId="0" fontId="7" fillId="0" borderId="0" xfId="2" applyFont="1" applyBorder="1" applyAlignment="1">
      <alignment horizontal="center" vertical="center"/>
    </xf>
    <xf numFmtId="165" fontId="13" fillId="2" borderId="0" xfId="0" applyNumberFormat="1" applyFont="1" applyFill="1" applyAlignment="1">
      <alignment horizontal="center"/>
    </xf>
    <xf numFmtId="165" fontId="0" fillId="0" borderId="0" xfId="0" applyNumberFormat="1"/>
    <xf numFmtId="165" fontId="3" fillId="0" borderId="0" xfId="0" applyNumberFormat="1" applyFont="1"/>
    <xf numFmtId="0" fontId="3" fillId="0" borderId="0" xfId="0" applyFont="1"/>
    <xf numFmtId="0" fontId="3" fillId="0" borderId="11" xfId="0" applyFont="1" applyBorder="1"/>
    <xf numFmtId="0" fontId="0" fillId="2" borderId="0" xfId="0" applyFill="1"/>
    <xf numFmtId="0" fontId="3" fillId="2" borderId="0" xfId="0" applyFont="1" applyFill="1"/>
    <xf numFmtId="0" fontId="9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6" fontId="14" fillId="2" borderId="11" xfId="0" applyNumberFormat="1" applyFont="1" applyFill="1" applyBorder="1" applyAlignment="1">
      <alignment vertical="center"/>
    </xf>
    <xf numFmtId="165" fontId="14" fillId="2" borderId="11" xfId="1" applyNumberFormat="1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center" vertical="center" wrapText="1"/>
    </xf>
    <xf numFmtId="14" fontId="14" fillId="3" borderId="11" xfId="0" applyNumberFormat="1" applyFont="1" applyFill="1" applyBorder="1" applyAlignment="1">
      <alignment horizontal="center" vertical="center" wrapText="1"/>
    </xf>
    <xf numFmtId="165" fontId="14" fillId="3" borderId="11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7" fontId="14" fillId="2" borderId="11" xfId="0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165" fontId="14" fillId="2" borderId="11" xfId="0" applyNumberFormat="1" applyFont="1" applyFill="1" applyBorder="1" applyAlignment="1">
      <alignment horizontal="right" vertical="center" wrapText="1"/>
    </xf>
    <xf numFmtId="0" fontId="18" fillId="2" borderId="11" xfId="0" applyFont="1" applyFill="1" applyBorder="1" applyAlignment="1">
      <alignment vertical="center" wrapText="1"/>
    </xf>
    <xf numFmtId="165" fontId="14" fillId="2" borderId="11" xfId="1" applyNumberFormat="1" applyFont="1" applyFill="1" applyBorder="1" applyAlignment="1">
      <alignment horizontal="center" vertical="center" wrapText="1"/>
    </xf>
    <xf numFmtId="14" fontId="14" fillId="2" borderId="11" xfId="0" applyNumberFormat="1" applyFont="1" applyFill="1" applyBorder="1" applyAlignment="1">
      <alignment horizontal="center" vertical="center" wrapText="1"/>
    </xf>
    <xf numFmtId="165" fontId="14" fillId="2" borderId="11" xfId="1" applyNumberFormat="1" applyFont="1" applyFill="1" applyBorder="1" applyAlignment="1">
      <alignment horizontal="right" vertical="center"/>
    </xf>
    <xf numFmtId="0" fontId="18" fillId="2" borderId="11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center" vertical="center"/>
    </xf>
    <xf numFmtId="165" fontId="22" fillId="2" borderId="7" xfId="1" applyNumberFormat="1" applyFont="1" applyFill="1" applyBorder="1" applyAlignment="1">
      <alignment horizontal="right" vertical="center" wrapText="1"/>
    </xf>
    <xf numFmtId="165" fontId="14" fillId="2" borderId="7" xfId="0" applyNumberFormat="1" applyFont="1" applyFill="1" applyBorder="1"/>
    <xf numFmtId="3" fontId="14" fillId="2" borderId="12" xfId="0" applyNumberFormat="1" applyFont="1" applyFill="1" applyBorder="1"/>
    <xf numFmtId="3" fontId="14" fillId="2" borderId="12" xfId="0" applyNumberFormat="1" applyFont="1" applyFill="1" applyBorder="1" applyAlignment="1">
      <alignment horizontal="right"/>
    </xf>
    <xf numFmtId="166" fontId="14" fillId="2" borderId="11" xfId="0" applyNumberFormat="1" applyFont="1" applyFill="1" applyBorder="1" applyAlignment="1">
      <alignment vertical="center" wrapText="1"/>
    </xf>
    <xf numFmtId="0" fontId="23" fillId="4" borderId="0" xfId="0" applyFont="1" applyFill="1"/>
    <xf numFmtId="0" fontId="0" fillId="5" borderId="0" xfId="0" applyFill="1"/>
    <xf numFmtId="165" fontId="14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14" fillId="2" borderId="1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2" fillId="2" borderId="8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166" fontId="14" fillId="2" borderId="6" xfId="0" applyNumberFormat="1" applyFont="1" applyFill="1" applyBorder="1" applyAlignment="1">
      <alignment horizontal="center" vertical="center"/>
    </xf>
    <xf numFmtId="166" fontId="14" fillId="2" borderId="5" xfId="0" applyNumberFormat="1" applyFont="1" applyFill="1" applyBorder="1" applyAlignment="1">
      <alignment horizontal="center" vertical="center"/>
    </xf>
    <xf numFmtId="166" fontId="14" fillId="2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65" fontId="14" fillId="2" borderId="11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165" fontId="14" fillId="2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6">
    <cellStyle name="Comma" xfId="1" builtinId="3"/>
    <cellStyle name="Heading 2" xfId="2" builtinId="17"/>
    <cellStyle name="Milliers [0] 2" xfId="6" xr:uid="{00000000-0005-0000-0000-000002000000}"/>
    <cellStyle name="Milliers 2" xfId="7" xr:uid="{00000000-0005-0000-0000-000003000000}"/>
    <cellStyle name="Milliers 2 2" xfId="8" xr:uid="{00000000-0005-0000-0000-000004000000}"/>
    <cellStyle name="Milliers 3" xfId="5" xr:uid="{00000000-0005-0000-0000-000005000000}"/>
    <cellStyle name="Normal" xfId="0" builtinId="0"/>
    <cellStyle name="Normal 2" xfId="3" xr:uid="{00000000-0005-0000-0000-000007000000}"/>
    <cellStyle name="Normal 3" xfId="9" xr:uid="{00000000-0005-0000-0000-000008000000}"/>
    <cellStyle name="Normal 3 2" xfId="10" xr:uid="{00000000-0005-0000-0000-000009000000}"/>
    <cellStyle name="Normal 3 3" xfId="11" xr:uid="{00000000-0005-0000-0000-00000A000000}"/>
    <cellStyle name="Normal 4" xfId="12" xr:uid="{00000000-0005-0000-0000-00000B000000}"/>
    <cellStyle name="Normal 5" xfId="13" xr:uid="{00000000-0005-0000-0000-00000C000000}"/>
    <cellStyle name="Normal 6" xfId="14" xr:uid="{00000000-0005-0000-0000-00000D000000}"/>
    <cellStyle name="Normal 7" xfId="4" xr:uid="{00000000-0005-0000-0000-00000E000000}"/>
    <cellStyle name="Pourcentage 2" xfId="15" xr:uid="{00000000-0005-0000-0000-00000F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 LIVINGLAB DANGALMA- Draft 0.xlsx]GANNT!PivotTable2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GANNT!$B$39</c:f>
              <c:strCache>
                <c:ptCount val="1"/>
                <c:pt idx="0">
                  <c:v>Count of Novembre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GANNT!$A$40:$A$75</c:f>
              <c:strCache>
                <c:ptCount val="35"/>
                <c:pt idx="0">
                  <c:v>- Achat de matériel pour l’analyse</c:v>
                </c:pt>
                <c:pt idx="1">
                  <c:v>- Campagne de communication</c:v>
                </c:pt>
                <c:pt idx="2">
                  <c:v>- Correction des bugs</c:v>
                </c:pt>
                <c:pt idx="3">
                  <c:v>- Création de contenu promotionnel</c:v>
                </c:pt>
                <c:pt idx="4">
                  <c:v>- Création de modules e-learning</c:v>
                </c:pt>
                <c:pt idx="5">
                  <c:v>- Définition du parcours pédagogique</c:v>
                </c:pt>
                <c:pt idx="6">
                  <c:v>- Design UX/UI pour la plateforme</c:v>
                </c:pt>
                <c:pt idx="7">
                  <c:v>- Distribution du matériel didactique</c:v>
                </c:pt>
                <c:pt idx="8">
                  <c:v>- Étude de marché et enquête auprès des agriculteurs</c:v>
                </c:pt>
                <c:pt idx="9">
                  <c:v>- Évaluation périodique des progrès</c:v>
                </c:pt>
                <c:pt idx="10">
                  <c:v>- Intégration des contenus pédagogiques</c:v>
                </c:pt>
                <c:pt idx="11">
                  <c:v>- Mise à jour technologique</c:v>
                </c:pt>
                <c:pt idx="12">
                  <c:v>- Mise en place d’indicateurs de performance</c:v>
                </c:pt>
                <c:pt idx="13">
                  <c:v>- Optimisation de l’interface utilisateur</c:v>
                </c:pt>
                <c:pt idx="14">
                  <c:v>- Organisation d’ateliers participatifs</c:v>
                </c:pt>
                <c:pt idx="15">
                  <c:v>- Organisation de journées portes ouvertes</c:v>
                </c:pt>
                <c:pt idx="16">
                  <c:v>- Organisation de sessions de formation</c:v>
                </c:pt>
                <c:pt idx="17">
                  <c:v>- Partenariats avec les médias locaux</c:v>
                </c:pt>
                <c:pt idx="18">
                  <c:v>- Programmation de la plateforme</c:v>
                </c:pt>
                <c:pt idx="19">
                  <c:v>- Rapports d’impact et d’amélioration</c:v>
                </c:pt>
                <c:pt idx="20">
                  <c:v>- Recrutement d’un expert en formation en ligne</c:v>
                </c:pt>
                <c:pt idx="21">
                  <c:v>- Rédaction du cahier des charges technique</c:v>
                </c:pt>
                <c:pt idx="22">
                  <c:v>- Réunions de suivi</c:v>
                </c:pt>
                <c:pt idx="23">
                  <c:v>- Sécurisation du site web</c:v>
                </c:pt>
                <c:pt idx="24">
                  <c:v>- Sélection et achat de logiciels éducatifs</c:v>
                </c:pt>
                <c:pt idx="25">
                  <c:v>- Support technique et pédagogique</c:v>
                </c:pt>
                <c:pt idx="26">
                  <c:v>- Test d’interopérabilité</c:v>
                </c:pt>
                <c:pt idx="27">
                  <c:v>- Tests utilisateurs</c:v>
                </c:pt>
                <c:pt idx="28">
                  <c:v>Analyse des besoins et des ressources</c:v>
                </c:pt>
                <c:pt idx="29">
                  <c:v>Communication et sensibilisation</c:v>
                </c:pt>
                <c:pt idx="30">
                  <c:v>Conception de la plateforme</c:v>
                </c:pt>
                <c:pt idx="31">
                  <c:v>Développement et intégration</c:v>
                </c:pt>
                <c:pt idx="32">
                  <c:v>Formation des agriculteurs</c:v>
                </c:pt>
                <c:pt idx="33">
                  <c:v>Suivi et évaluation</c:v>
                </c:pt>
                <c:pt idx="34">
                  <c:v>Tests et améliorations</c:v>
                </c:pt>
              </c:strCache>
            </c:strRef>
          </c:cat>
          <c:val>
            <c:numRef>
              <c:f>GANNT!$B$40:$B$75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4E58-AF49-E309AFEBD411}"/>
            </c:ext>
          </c:extLst>
        </c:ser>
        <c:ser>
          <c:idx val="1"/>
          <c:order val="1"/>
          <c:tx>
            <c:strRef>
              <c:f>GANNT!$C$39</c:f>
              <c:strCache>
                <c:ptCount val="1"/>
                <c:pt idx="0">
                  <c:v>Count of Décembre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GANNT!$A$40:$A$75</c:f>
              <c:strCache>
                <c:ptCount val="35"/>
                <c:pt idx="0">
                  <c:v>- Achat de matériel pour l’analyse</c:v>
                </c:pt>
                <c:pt idx="1">
                  <c:v>- Campagne de communication</c:v>
                </c:pt>
                <c:pt idx="2">
                  <c:v>- Correction des bugs</c:v>
                </c:pt>
                <c:pt idx="3">
                  <c:v>- Création de contenu promotionnel</c:v>
                </c:pt>
                <c:pt idx="4">
                  <c:v>- Création de modules e-learning</c:v>
                </c:pt>
                <c:pt idx="5">
                  <c:v>- Définition du parcours pédagogique</c:v>
                </c:pt>
                <c:pt idx="6">
                  <c:v>- Design UX/UI pour la plateforme</c:v>
                </c:pt>
                <c:pt idx="7">
                  <c:v>- Distribution du matériel didactique</c:v>
                </c:pt>
                <c:pt idx="8">
                  <c:v>- Étude de marché et enquête auprès des agriculteurs</c:v>
                </c:pt>
                <c:pt idx="9">
                  <c:v>- Évaluation périodique des progrès</c:v>
                </c:pt>
                <c:pt idx="10">
                  <c:v>- Intégration des contenus pédagogiques</c:v>
                </c:pt>
                <c:pt idx="11">
                  <c:v>- Mise à jour technologique</c:v>
                </c:pt>
                <c:pt idx="12">
                  <c:v>- Mise en place d’indicateurs de performance</c:v>
                </c:pt>
                <c:pt idx="13">
                  <c:v>- Optimisation de l’interface utilisateur</c:v>
                </c:pt>
                <c:pt idx="14">
                  <c:v>- Organisation d’ateliers participatifs</c:v>
                </c:pt>
                <c:pt idx="15">
                  <c:v>- Organisation de journées portes ouvertes</c:v>
                </c:pt>
                <c:pt idx="16">
                  <c:v>- Organisation de sessions de formation</c:v>
                </c:pt>
                <c:pt idx="17">
                  <c:v>- Partenariats avec les médias locaux</c:v>
                </c:pt>
                <c:pt idx="18">
                  <c:v>- Programmation de la plateforme</c:v>
                </c:pt>
                <c:pt idx="19">
                  <c:v>- Rapports d’impact et d’amélioration</c:v>
                </c:pt>
                <c:pt idx="20">
                  <c:v>- Recrutement d’un expert en formation en ligne</c:v>
                </c:pt>
                <c:pt idx="21">
                  <c:v>- Rédaction du cahier des charges technique</c:v>
                </c:pt>
                <c:pt idx="22">
                  <c:v>- Réunions de suivi</c:v>
                </c:pt>
                <c:pt idx="23">
                  <c:v>- Sécurisation du site web</c:v>
                </c:pt>
                <c:pt idx="24">
                  <c:v>- Sélection et achat de logiciels éducatifs</c:v>
                </c:pt>
                <c:pt idx="25">
                  <c:v>- Support technique et pédagogique</c:v>
                </c:pt>
                <c:pt idx="26">
                  <c:v>- Test d’interopérabilité</c:v>
                </c:pt>
                <c:pt idx="27">
                  <c:v>- Tests utilisateurs</c:v>
                </c:pt>
                <c:pt idx="28">
                  <c:v>Analyse des besoins et des ressources</c:v>
                </c:pt>
                <c:pt idx="29">
                  <c:v>Communication et sensibilisation</c:v>
                </c:pt>
                <c:pt idx="30">
                  <c:v>Conception de la plateforme</c:v>
                </c:pt>
                <c:pt idx="31">
                  <c:v>Développement et intégration</c:v>
                </c:pt>
                <c:pt idx="32">
                  <c:v>Formation des agriculteurs</c:v>
                </c:pt>
                <c:pt idx="33">
                  <c:v>Suivi et évaluation</c:v>
                </c:pt>
                <c:pt idx="34">
                  <c:v>Tests et améliorations</c:v>
                </c:pt>
              </c:strCache>
            </c:strRef>
          </c:cat>
          <c:val>
            <c:numRef>
              <c:f>GANNT!$C$40:$C$75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C-4E58-AF49-E309AFEBD411}"/>
            </c:ext>
          </c:extLst>
        </c:ser>
        <c:ser>
          <c:idx val="2"/>
          <c:order val="2"/>
          <c:tx>
            <c:strRef>
              <c:f>GANNT!$D$39</c:f>
              <c:strCache>
                <c:ptCount val="1"/>
                <c:pt idx="0">
                  <c:v>Count of Janvier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GANNT!$A$40:$A$75</c:f>
              <c:strCache>
                <c:ptCount val="35"/>
                <c:pt idx="0">
                  <c:v>- Achat de matériel pour l’analyse</c:v>
                </c:pt>
                <c:pt idx="1">
                  <c:v>- Campagne de communication</c:v>
                </c:pt>
                <c:pt idx="2">
                  <c:v>- Correction des bugs</c:v>
                </c:pt>
                <c:pt idx="3">
                  <c:v>- Création de contenu promotionnel</c:v>
                </c:pt>
                <c:pt idx="4">
                  <c:v>- Création de modules e-learning</c:v>
                </c:pt>
                <c:pt idx="5">
                  <c:v>- Définition du parcours pédagogique</c:v>
                </c:pt>
                <c:pt idx="6">
                  <c:v>- Design UX/UI pour la plateforme</c:v>
                </c:pt>
                <c:pt idx="7">
                  <c:v>- Distribution du matériel didactique</c:v>
                </c:pt>
                <c:pt idx="8">
                  <c:v>- Étude de marché et enquête auprès des agriculteurs</c:v>
                </c:pt>
                <c:pt idx="9">
                  <c:v>- Évaluation périodique des progrès</c:v>
                </c:pt>
                <c:pt idx="10">
                  <c:v>- Intégration des contenus pédagogiques</c:v>
                </c:pt>
                <c:pt idx="11">
                  <c:v>- Mise à jour technologique</c:v>
                </c:pt>
                <c:pt idx="12">
                  <c:v>- Mise en place d’indicateurs de performance</c:v>
                </c:pt>
                <c:pt idx="13">
                  <c:v>- Optimisation de l’interface utilisateur</c:v>
                </c:pt>
                <c:pt idx="14">
                  <c:v>- Organisation d’ateliers participatifs</c:v>
                </c:pt>
                <c:pt idx="15">
                  <c:v>- Organisation de journées portes ouvertes</c:v>
                </c:pt>
                <c:pt idx="16">
                  <c:v>- Organisation de sessions de formation</c:v>
                </c:pt>
                <c:pt idx="17">
                  <c:v>- Partenariats avec les médias locaux</c:v>
                </c:pt>
                <c:pt idx="18">
                  <c:v>- Programmation de la plateforme</c:v>
                </c:pt>
                <c:pt idx="19">
                  <c:v>- Rapports d’impact et d’amélioration</c:v>
                </c:pt>
                <c:pt idx="20">
                  <c:v>- Recrutement d’un expert en formation en ligne</c:v>
                </c:pt>
                <c:pt idx="21">
                  <c:v>- Rédaction du cahier des charges technique</c:v>
                </c:pt>
                <c:pt idx="22">
                  <c:v>- Réunions de suivi</c:v>
                </c:pt>
                <c:pt idx="23">
                  <c:v>- Sécurisation du site web</c:v>
                </c:pt>
                <c:pt idx="24">
                  <c:v>- Sélection et achat de logiciels éducatifs</c:v>
                </c:pt>
                <c:pt idx="25">
                  <c:v>- Support technique et pédagogique</c:v>
                </c:pt>
                <c:pt idx="26">
                  <c:v>- Test d’interopérabilité</c:v>
                </c:pt>
                <c:pt idx="27">
                  <c:v>- Tests utilisateurs</c:v>
                </c:pt>
                <c:pt idx="28">
                  <c:v>Analyse des besoins et des ressources</c:v>
                </c:pt>
                <c:pt idx="29">
                  <c:v>Communication et sensibilisation</c:v>
                </c:pt>
                <c:pt idx="30">
                  <c:v>Conception de la plateforme</c:v>
                </c:pt>
                <c:pt idx="31">
                  <c:v>Développement et intégration</c:v>
                </c:pt>
                <c:pt idx="32">
                  <c:v>Formation des agriculteurs</c:v>
                </c:pt>
                <c:pt idx="33">
                  <c:v>Suivi et évaluation</c:v>
                </c:pt>
                <c:pt idx="34">
                  <c:v>Tests et améliorations</c:v>
                </c:pt>
              </c:strCache>
            </c:strRef>
          </c:cat>
          <c:val>
            <c:numRef>
              <c:f>GANNT!$D$40:$D$75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C-4E58-AF49-E309AFEBD411}"/>
            </c:ext>
          </c:extLst>
        </c:ser>
        <c:ser>
          <c:idx val="3"/>
          <c:order val="3"/>
          <c:tx>
            <c:strRef>
              <c:f>GANNT!$E$39</c:f>
              <c:strCache>
                <c:ptCount val="1"/>
                <c:pt idx="0">
                  <c:v>Count of Février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GANNT!$A$40:$A$75</c:f>
              <c:strCache>
                <c:ptCount val="35"/>
                <c:pt idx="0">
                  <c:v>- Achat de matériel pour l’analyse</c:v>
                </c:pt>
                <c:pt idx="1">
                  <c:v>- Campagne de communication</c:v>
                </c:pt>
                <c:pt idx="2">
                  <c:v>- Correction des bugs</c:v>
                </c:pt>
                <c:pt idx="3">
                  <c:v>- Création de contenu promotionnel</c:v>
                </c:pt>
                <c:pt idx="4">
                  <c:v>- Création de modules e-learning</c:v>
                </c:pt>
                <c:pt idx="5">
                  <c:v>- Définition du parcours pédagogique</c:v>
                </c:pt>
                <c:pt idx="6">
                  <c:v>- Design UX/UI pour la plateforme</c:v>
                </c:pt>
                <c:pt idx="7">
                  <c:v>- Distribution du matériel didactique</c:v>
                </c:pt>
                <c:pt idx="8">
                  <c:v>- Étude de marché et enquête auprès des agriculteurs</c:v>
                </c:pt>
                <c:pt idx="9">
                  <c:v>- Évaluation périodique des progrès</c:v>
                </c:pt>
                <c:pt idx="10">
                  <c:v>- Intégration des contenus pédagogiques</c:v>
                </c:pt>
                <c:pt idx="11">
                  <c:v>- Mise à jour technologique</c:v>
                </c:pt>
                <c:pt idx="12">
                  <c:v>- Mise en place d’indicateurs de performance</c:v>
                </c:pt>
                <c:pt idx="13">
                  <c:v>- Optimisation de l’interface utilisateur</c:v>
                </c:pt>
                <c:pt idx="14">
                  <c:v>- Organisation d’ateliers participatifs</c:v>
                </c:pt>
                <c:pt idx="15">
                  <c:v>- Organisation de journées portes ouvertes</c:v>
                </c:pt>
                <c:pt idx="16">
                  <c:v>- Organisation de sessions de formation</c:v>
                </c:pt>
                <c:pt idx="17">
                  <c:v>- Partenariats avec les médias locaux</c:v>
                </c:pt>
                <c:pt idx="18">
                  <c:v>- Programmation de la plateforme</c:v>
                </c:pt>
                <c:pt idx="19">
                  <c:v>- Rapports d’impact et d’amélioration</c:v>
                </c:pt>
                <c:pt idx="20">
                  <c:v>- Recrutement d’un expert en formation en ligne</c:v>
                </c:pt>
                <c:pt idx="21">
                  <c:v>- Rédaction du cahier des charges technique</c:v>
                </c:pt>
                <c:pt idx="22">
                  <c:v>- Réunions de suivi</c:v>
                </c:pt>
                <c:pt idx="23">
                  <c:v>- Sécurisation du site web</c:v>
                </c:pt>
                <c:pt idx="24">
                  <c:v>- Sélection et achat de logiciels éducatifs</c:v>
                </c:pt>
                <c:pt idx="25">
                  <c:v>- Support technique et pédagogique</c:v>
                </c:pt>
                <c:pt idx="26">
                  <c:v>- Test d’interopérabilité</c:v>
                </c:pt>
                <c:pt idx="27">
                  <c:v>- Tests utilisateurs</c:v>
                </c:pt>
                <c:pt idx="28">
                  <c:v>Analyse des besoins et des ressources</c:v>
                </c:pt>
                <c:pt idx="29">
                  <c:v>Communication et sensibilisation</c:v>
                </c:pt>
                <c:pt idx="30">
                  <c:v>Conception de la plateforme</c:v>
                </c:pt>
                <c:pt idx="31">
                  <c:v>Développement et intégration</c:v>
                </c:pt>
                <c:pt idx="32">
                  <c:v>Formation des agriculteurs</c:v>
                </c:pt>
                <c:pt idx="33">
                  <c:v>Suivi et évaluation</c:v>
                </c:pt>
                <c:pt idx="34">
                  <c:v>Tests et améliorations</c:v>
                </c:pt>
              </c:strCache>
            </c:strRef>
          </c:cat>
          <c:val>
            <c:numRef>
              <c:f>GANNT!$E$40:$E$75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C-4E58-AF49-E309AFEBD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759056"/>
        <c:axId val="1018755696"/>
      </c:barChart>
      <c:catAx>
        <c:axId val="101875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755696"/>
        <c:crosses val="autoZero"/>
        <c:auto val="1"/>
        <c:lblAlgn val="ctr"/>
        <c:lblOffset val="100"/>
        <c:noMultiLvlLbl val="0"/>
      </c:catAx>
      <c:valAx>
        <c:axId val="101875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75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392429</xdr:colOff>
      <xdr:row>75</xdr:row>
      <xdr:rowOff>180021</xdr:rowOff>
    </xdr:from>
    <xdr:to>
      <xdr:col>4</xdr:col>
      <xdr:colOff>942975</xdr:colOff>
      <xdr:row>102</xdr:row>
      <xdr:rowOff>120015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90E2E5-2F2A-A8C9-6E0E-171AE34E6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aze" refreshedDate="45568.705081134256" createdVersion="8" refreshedVersion="8" minRefreshableVersion="3" recordCount="35" xr:uid="{0DA4A0B1-DDA6-4B2C-B32F-5CFF2C2EA48F}">
  <cacheSource type="worksheet">
    <worksheetSource ref="A1:E36" sheet="GANNT"/>
  </cacheSource>
  <cacheFields count="5">
    <cacheField name="Activité" numFmtId="0">
      <sharedItems count="35">
        <s v="Analyse des besoins et des ressources"/>
        <s v="- Étude de marché et enquête auprès des agriculteurs"/>
        <s v="- Recrutement d’un expert en formation en ligne"/>
        <s v="- Achat de matériel pour l’analyse"/>
        <s v="- Organisation d’ateliers participatifs"/>
        <s v="Conception de la plateforme"/>
        <s v="- Design UX/UI pour la plateforme"/>
        <s v="- Définition du parcours pédagogique"/>
        <s v="- Sélection et achat de logiciels éducatifs"/>
        <s v="- Rédaction du cahier des charges technique"/>
        <s v="Développement et intégration"/>
        <s v="- Programmation de la plateforme"/>
        <s v="- Intégration des contenus pédagogiques"/>
        <s v="- Test d’interopérabilité"/>
        <s v="- Sécurisation du site web"/>
        <s v="Tests et améliorations"/>
        <s v="- Tests utilisateurs"/>
        <s v="- Correction des bugs"/>
        <s v="- Optimisation de l’interface utilisateur"/>
        <s v="- Mise à jour technologique"/>
        <s v="Formation des agriculteurs"/>
        <s v="- Création de modules e-learning"/>
        <s v="- Organisation de sessions de formation"/>
        <s v="- Distribution du matériel didactique"/>
        <s v="- Support technique et pédagogique"/>
        <s v="Communication et sensibilisation"/>
        <s v="- Campagne de communication"/>
        <s v="- Organisation de journées portes ouvertes"/>
        <s v="- Création de contenu promotionnel"/>
        <s v="- Partenariats avec les médias locaux"/>
        <s v="Suivi et évaluation"/>
        <s v="- Évaluation périodique des progrès"/>
        <s v="- Rapports d’impact et d’amélioration"/>
        <s v="- Réunions de suivi"/>
        <s v="- Mise en place d’indicateurs de performance"/>
      </sharedItems>
    </cacheField>
    <cacheField name="Novembre 2024" numFmtId="0">
      <sharedItems count="5">
        <s v="1-30 nov"/>
        <s v="1-14 nov"/>
        <s v="15-30 nov"/>
        <s v=""/>
        <s v="1 nov - 29 fév"/>
      </sharedItems>
    </cacheField>
    <cacheField name="Décembre 2024" numFmtId="0">
      <sharedItems count="5">
        <s v=""/>
        <s v="1-31 déc"/>
        <s v="1-14 déc"/>
        <s v="15-31 déc"/>
        <s v="1 nov - 29 fév"/>
      </sharedItems>
    </cacheField>
    <cacheField name="Janvier 2025" numFmtId="0">
      <sharedItems count="5">
        <s v=""/>
        <s v="1-31 jan"/>
        <s v="1-14 jan"/>
        <s v="15-31 jan"/>
        <s v="1 nov - 29 fév"/>
      </sharedItems>
    </cacheField>
    <cacheField name="Février 2025" numFmtId="0">
      <sharedItems count="5">
        <s v=""/>
        <s v="1-29 fév"/>
        <s v="1-14 fév"/>
        <s v="15-29 fév"/>
        <s v="1 nov - 29 fé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x v="0"/>
    <x v="0"/>
    <x v="0"/>
  </r>
  <r>
    <x v="1"/>
    <x v="1"/>
    <x v="0"/>
    <x v="0"/>
    <x v="0"/>
  </r>
  <r>
    <x v="2"/>
    <x v="1"/>
    <x v="0"/>
    <x v="0"/>
    <x v="0"/>
  </r>
  <r>
    <x v="3"/>
    <x v="2"/>
    <x v="0"/>
    <x v="0"/>
    <x v="0"/>
  </r>
  <r>
    <x v="4"/>
    <x v="2"/>
    <x v="0"/>
    <x v="0"/>
    <x v="0"/>
  </r>
  <r>
    <x v="5"/>
    <x v="3"/>
    <x v="1"/>
    <x v="0"/>
    <x v="0"/>
  </r>
  <r>
    <x v="6"/>
    <x v="3"/>
    <x v="2"/>
    <x v="0"/>
    <x v="0"/>
  </r>
  <r>
    <x v="7"/>
    <x v="3"/>
    <x v="2"/>
    <x v="0"/>
    <x v="0"/>
  </r>
  <r>
    <x v="8"/>
    <x v="3"/>
    <x v="3"/>
    <x v="0"/>
    <x v="0"/>
  </r>
  <r>
    <x v="9"/>
    <x v="3"/>
    <x v="3"/>
    <x v="0"/>
    <x v="0"/>
  </r>
  <r>
    <x v="10"/>
    <x v="3"/>
    <x v="0"/>
    <x v="1"/>
    <x v="0"/>
  </r>
  <r>
    <x v="11"/>
    <x v="3"/>
    <x v="0"/>
    <x v="2"/>
    <x v="0"/>
  </r>
  <r>
    <x v="12"/>
    <x v="3"/>
    <x v="0"/>
    <x v="2"/>
    <x v="0"/>
  </r>
  <r>
    <x v="13"/>
    <x v="3"/>
    <x v="0"/>
    <x v="3"/>
    <x v="0"/>
  </r>
  <r>
    <x v="14"/>
    <x v="3"/>
    <x v="0"/>
    <x v="3"/>
    <x v="0"/>
  </r>
  <r>
    <x v="15"/>
    <x v="3"/>
    <x v="0"/>
    <x v="0"/>
    <x v="1"/>
  </r>
  <r>
    <x v="16"/>
    <x v="3"/>
    <x v="0"/>
    <x v="0"/>
    <x v="2"/>
  </r>
  <r>
    <x v="17"/>
    <x v="3"/>
    <x v="0"/>
    <x v="0"/>
    <x v="2"/>
  </r>
  <r>
    <x v="18"/>
    <x v="3"/>
    <x v="0"/>
    <x v="0"/>
    <x v="3"/>
  </r>
  <r>
    <x v="19"/>
    <x v="3"/>
    <x v="0"/>
    <x v="0"/>
    <x v="3"/>
  </r>
  <r>
    <x v="20"/>
    <x v="4"/>
    <x v="4"/>
    <x v="4"/>
    <x v="4"/>
  </r>
  <r>
    <x v="21"/>
    <x v="4"/>
    <x v="4"/>
    <x v="4"/>
    <x v="4"/>
  </r>
  <r>
    <x v="22"/>
    <x v="4"/>
    <x v="4"/>
    <x v="4"/>
    <x v="4"/>
  </r>
  <r>
    <x v="23"/>
    <x v="4"/>
    <x v="4"/>
    <x v="4"/>
    <x v="4"/>
  </r>
  <r>
    <x v="24"/>
    <x v="4"/>
    <x v="4"/>
    <x v="4"/>
    <x v="4"/>
  </r>
  <r>
    <x v="25"/>
    <x v="4"/>
    <x v="4"/>
    <x v="4"/>
    <x v="4"/>
  </r>
  <r>
    <x v="26"/>
    <x v="4"/>
    <x v="4"/>
    <x v="4"/>
    <x v="4"/>
  </r>
  <r>
    <x v="27"/>
    <x v="4"/>
    <x v="4"/>
    <x v="4"/>
    <x v="4"/>
  </r>
  <r>
    <x v="28"/>
    <x v="4"/>
    <x v="4"/>
    <x v="4"/>
    <x v="4"/>
  </r>
  <r>
    <x v="29"/>
    <x v="4"/>
    <x v="4"/>
    <x v="4"/>
    <x v="4"/>
  </r>
  <r>
    <x v="30"/>
    <x v="4"/>
    <x v="4"/>
    <x v="4"/>
    <x v="4"/>
  </r>
  <r>
    <x v="31"/>
    <x v="4"/>
    <x v="4"/>
    <x v="4"/>
    <x v="4"/>
  </r>
  <r>
    <x v="32"/>
    <x v="4"/>
    <x v="4"/>
    <x v="4"/>
    <x v="4"/>
  </r>
  <r>
    <x v="33"/>
    <x v="4"/>
    <x v="4"/>
    <x v="4"/>
    <x v="4"/>
  </r>
  <r>
    <x v="34"/>
    <x v="4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5FEB-5066-4774-BEBC-C8027375501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9:E75" firstHeaderRow="0" firstDataRow="1" firstDataCol="1"/>
  <pivotFields count="5">
    <pivotField axis="axisRow" showAll="0">
      <items count="36">
        <item x="3"/>
        <item x="26"/>
        <item x="17"/>
        <item x="28"/>
        <item x="21"/>
        <item x="7"/>
        <item x="6"/>
        <item x="23"/>
        <item x="1"/>
        <item x="31"/>
        <item x="12"/>
        <item x="19"/>
        <item x="34"/>
        <item x="18"/>
        <item x="4"/>
        <item x="27"/>
        <item x="22"/>
        <item x="29"/>
        <item x="11"/>
        <item x="32"/>
        <item x="2"/>
        <item x="9"/>
        <item x="33"/>
        <item x="14"/>
        <item x="8"/>
        <item x="24"/>
        <item x="13"/>
        <item x="16"/>
        <item x="0"/>
        <item x="25"/>
        <item x="5"/>
        <item x="10"/>
        <item x="20"/>
        <item x="30"/>
        <item x="15"/>
        <item t="default"/>
      </items>
    </pivotField>
    <pivotField dataField="1" showAll="0">
      <items count="6">
        <item x="3"/>
        <item x="4"/>
        <item x="1"/>
        <item x="0"/>
        <item x="2"/>
        <item t="default"/>
      </items>
    </pivotField>
    <pivotField dataField="1" showAll="0">
      <items count="6">
        <item x="0"/>
        <item x="4"/>
        <item x="2"/>
        <item x="1"/>
        <item x="3"/>
        <item t="default"/>
      </items>
    </pivotField>
    <pivotField dataField="1" showAll="0">
      <items count="6">
        <item x="0"/>
        <item x="4"/>
        <item x="2"/>
        <item x="1"/>
        <item x="3"/>
        <item t="default"/>
      </items>
    </pivotField>
    <pivotField dataField="1" showAll="0">
      <items count="6">
        <item x="0"/>
        <item x="4"/>
        <item x="2"/>
        <item x="1"/>
        <item x="3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Novembre 2024" fld="1" subtotal="count" baseField="0" baseItem="0"/>
    <dataField name="Count of Décembre 2024" fld="2" subtotal="count" baseField="0" baseItem="0"/>
    <dataField name="Count of Janvier 2025" fld="3" subtotal="count" baseField="0" baseItem="0"/>
    <dataField name="Count of Février 2025" fld="4" subtotal="count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7825E-990C-4706-8272-D6AF5A876E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tivités">
  <location ref="G2:G38" firstHeaderRow="1" firstDataRow="1" firstDataCol="1"/>
  <pivotFields count="5">
    <pivotField axis="axisRow" showAll="0">
      <items count="36">
        <item sd="0" x="3"/>
        <item sd="0" x="26"/>
        <item sd="0" x="17"/>
        <item sd="0" x="28"/>
        <item sd="0" x="21"/>
        <item sd="0" x="7"/>
        <item sd="0" x="6"/>
        <item sd="0" x="23"/>
        <item sd="0" x="1"/>
        <item sd="0" x="31"/>
        <item sd="0" x="12"/>
        <item sd="0" x="19"/>
        <item sd="0" x="34"/>
        <item sd="0" x="18"/>
        <item sd="0" x="4"/>
        <item sd="0" x="27"/>
        <item sd="0" x="22"/>
        <item sd="0" x="29"/>
        <item sd="0" x="11"/>
        <item sd="0" x="32"/>
        <item sd="0" x="2"/>
        <item sd="0" x="9"/>
        <item sd="0" x="33"/>
        <item sd="0" x="14"/>
        <item sd="0" x="8"/>
        <item sd="0" x="24"/>
        <item sd="0" x="13"/>
        <item sd="0" x="16"/>
        <item sd="0" x="0"/>
        <item sd="0" x="25"/>
        <item sd="0" x="5"/>
        <item sd="0" x="10"/>
        <item sd="0" x="20"/>
        <item sd="0" x="30"/>
        <item sd="0" x="15"/>
        <item t="default"/>
      </items>
    </pivotField>
    <pivotField axis="axisRow" showAll="0">
      <items count="6">
        <item x="3"/>
        <item x="4"/>
        <item x="1"/>
        <item x="0"/>
        <item x="2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</pivotFields>
  <rowFields count="5">
    <field x="0"/>
    <field x="1"/>
    <field x="2"/>
    <field x="3"/>
    <field x="4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opLeftCell="A15" zoomScale="55" zoomScaleNormal="55" zoomScalePageLayoutView="82" workbookViewId="0">
      <selection activeCell="C27" sqref="C27"/>
    </sheetView>
  </sheetViews>
  <sheetFormatPr defaultColWidth="11.5546875" defaultRowHeight="26.25" customHeight="1" x14ac:dyDescent="0.35"/>
  <cols>
    <col min="1" max="1" width="52.6640625" style="1" bestFit="1" customWidth="1"/>
    <col min="2" max="2" width="19.33203125" bestFit="1" customWidth="1"/>
    <col min="3" max="3" width="100.77734375" style="1" bestFit="1" customWidth="1"/>
    <col min="4" max="4" width="13.6640625" hidden="1" customWidth="1"/>
    <col min="5" max="5" width="26.88671875" hidden="1" customWidth="1"/>
    <col min="6" max="6" width="44.6640625" hidden="1" customWidth="1"/>
    <col min="7" max="7" width="30.6640625" hidden="1" customWidth="1"/>
    <col min="8" max="8" width="37.33203125" style="5" hidden="1" customWidth="1"/>
    <col min="9" max="9" width="38.44140625" style="5" hidden="1" customWidth="1"/>
    <col min="10" max="10" width="39.6640625" bestFit="1" customWidth="1"/>
    <col min="11" max="11" width="37.44140625" style="6" bestFit="1" customWidth="1"/>
    <col min="12" max="12" width="41" style="8" bestFit="1" customWidth="1"/>
    <col min="13" max="13" width="30.109375" style="39" customWidth="1"/>
  </cols>
  <sheetData>
    <row r="1" spans="1:13" ht="26.25" customHeight="1" x14ac:dyDescent="0.3">
      <c r="A1" s="51" t="s">
        <v>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26.25" customHeight="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ht="26.25" customHeight="1" x14ac:dyDescent="0.3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3" ht="26.25" customHeight="1" thickBot="1" x14ac:dyDescent="0.35">
      <c r="A4" s="2"/>
      <c r="B4" s="3"/>
      <c r="C4" s="60" t="s">
        <v>38</v>
      </c>
      <c r="D4" s="60"/>
      <c r="E4" s="60"/>
      <c r="F4" s="60"/>
      <c r="G4" s="60"/>
      <c r="H4" s="60"/>
      <c r="I4" s="60"/>
      <c r="J4" s="60"/>
      <c r="K4" s="60"/>
      <c r="L4" s="10"/>
    </row>
    <row r="5" spans="1:13" ht="46.8" thickBot="1" x14ac:dyDescent="0.9">
      <c r="A5" s="53" t="s">
        <v>27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3" ht="26.25" customHeight="1" x14ac:dyDescent="0.85">
      <c r="A6" s="11"/>
      <c r="B6" s="12"/>
      <c r="C6" s="11"/>
      <c r="D6" s="12"/>
      <c r="E6" s="12"/>
      <c r="F6" s="12"/>
      <c r="G6" s="12"/>
      <c r="H6" s="13"/>
      <c r="I6" s="13"/>
      <c r="J6" s="12"/>
      <c r="K6" s="4"/>
      <c r="L6" s="14"/>
    </row>
    <row r="7" spans="1:13" ht="47.25" customHeight="1" x14ac:dyDescent="0.3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3" ht="61.2" x14ac:dyDescent="0.3">
      <c r="A8" s="17" t="s">
        <v>0</v>
      </c>
      <c r="B8" s="18" t="s">
        <v>1</v>
      </c>
      <c r="C8" s="18" t="s">
        <v>2</v>
      </c>
      <c r="D8" s="19" t="s">
        <v>3</v>
      </c>
      <c r="E8" s="18" t="s">
        <v>4</v>
      </c>
      <c r="F8" s="18" t="s">
        <v>5</v>
      </c>
      <c r="G8" s="18" t="s">
        <v>6</v>
      </c>
      <c r="H8" s="20" t="s">
        <v>7</v>
      </c>
      <c r="I8" s="20" t="s">
        <v>8</v>
      </c>
      <c r="J8" s="18" t="s">
        <v>28</v>
      </c>
      <c r="K8" s="20" t="s">
        <v>29</v>
      </c>
      <c r="L8" s="18" t="s">
        <v>30</v>
      </c>
      <c r="M8" s="38" t="s">
        <v>139</v>
      </c>
    </row>
    <row r="9" spans="1:13" s="9" customFormat="1" ht="126" x14ac:dyDescent="0.3">
      <c r="A9" s="48" t="s">
        <v>31</v>
      </c>
      <c r="B9" s="21" t="s">
        <v>39</v>
      </c>
      <c r="C9" s="35" t="s">
        <v>67</v>
      </c>
      <c r="D9" s="22">
        <v>42401</v>
      </c>
      <c r="E9" s="23" t="s">
        <v>9</v>
      </c>
      <c r="F9" s="23" t="s">
        <v>10</v>
      </c>
      <c r="G9" s="21" t="s">
        <v>11</v>
      </c>
      <c r="H9" s="24">
        <v>1869600</v>
      </c>
      <c r="I9" s="16">
        <v>10500000</v>
      </c>
      <c r="J9" s="15">
        <v>500000</v>
      </c>
      <c r="K9" s="15"/>
      <c r="L9" s="15">
        <f>J9-K9</f>
        <v>500000</v>
      </c>
      <c r="M9" s="40" t="s">
        <v>100</v>
      </c>
    </row>
    <row r="10" spans="1:13" s="9" customFormat="1" ht="21" x14ac:dyDescent="0.3">
      <c r="A10" s="49"/>
      <c r="B10" s="21" t="s">
        <v>40</v>
      </c>
      <c r="C10" s="15" t="s">
        <v>70</v>
      </c>
      <c r="D10" s="22"/>
      <c r="E10" s="23"/>
      <c r="F10" s="23"/>
      <c r="G10" s="21"/>
      <c r="H10" s="24"/>
      <c r="I10" s="16"/>
      <c r="J10" s="15">
        <v>500000</v>
      </c>
      <c r="K10" s="15"/>
      <c r="L10" s="15">
        <f t="shared" ref="L10:L34" si="0">J10-K10</f>
        <v>500000</v>
      </c>
      <c r="M10" s="40" t="s">
        <v>103</v>
      </c>
    </row>
    <row r="11" spans="1:13" s="9" customFormat="1" ht="163.19999999999999" x14ac:dyDescent="0.3">
      <c r="A11" s="48" t="s">
        <v>32</v>
      </c>
      <c r="B11" s="21" t="s">
        <v>41</v>
      </c>
      <c r="C11" s="15" t="s">
        <v>71</v>
      </c>
      <c r="D11" s="21" t="s">
        <v>12</v>
      </c>
      <c r="E11" s="23" t="s">
        <v>13</v>
      </c>
      <c r="F11" s="25" t="s">
        <v>10</v>
      </c>
      <c r="G11" s="21" t="s">
        <v>14</v>
      </c>
      <c r="H11" s="24">
        <v>7889600</v>
      </c>
      <c r="I11" s="26">
        <v>6000000</v>
      </c>
      <c r="J11" s="15">
        <v>500000</v>
      </c>
      <c r="K11" s="15"/>
      <c r="L11" s="15">
        <f t="shared" si="0"/>
        <v>500000</v>
      </c>
      <c r="M11" s="40" t="s">
        <v>107</v>
      </c>
    </row>
    <row r="12" spans="1:13" s="9" customFormat="1" ht="21" x14ac:dyDescent="0.3">
      <c r="A12" s="49"/>
      <c r="B12" s="21" t="s">
        <v>42</v>
      </c>
      <c r="C12" s="15" t="s">
        <v>72</v>
      </c>
      <c r="D12" s="21"/>
      <c r="E12" s="23"/>
      <c r="F12" s="25"/>
      <c r="G12" s="21"/>
      <c r="H12" s="24"/>
      <c r="I12" s="26"/>
      <c r="J12" s="15">
        <v>500000</v>
      </c>
      <c r="K12" s="15"/>
      <c r="L12" s="15">
        <f t="shared" si="0"/>
        <v>500000</v>
      </c>
      <c r="M12" s="40" t="s">
        <v>107</v>
      </c>
    </row>
    <row r="13" spans="1:13" s="9" customFormat="1" ht="21" x14ac:dyDescent="0.3">
      <c r="A13" s="49"/>
      <c r="B13" s="21" t="s">
        <v>43</v>
      </c>
      <c r="C13" s="15" t="s">
        <v>69</v>
      </c>
      <c r="D13" s="21"/>
      <c r="E13" s="23"/>
      <c r="F13" s="25"/>
      <c r="G13" s="21"/>
      <c r="H13" s="24"/>
      <c r="I13" s="26"/>
      <c r="J13" s="15">
        <v>600000</v>
      </c>
      <c r="K13" s="15"/>
      <c r="L13" s="15">
        <f t="shared" si="0"/>
        <v>600000</v>
      </c>
      <c r="M13" s="40" t="s">
        <v>110</v>
      </c>
    </row>
    <row r="14" spans="1:13" s="9" customFormat="1" ht="21" x14ac:dyDescent="0.3">
      <c r="A14" s="50"/>
      <c r="B14" s="21" t="s">
        <v>44</v>
      </c>
      <c r="C14" s="15" t="s">
        <v>68</v>
      </c>
      <c r="D14" s="21"/>
      <c r="E14" s="23"/>
      <c r="F14" s="25"/>
      <c r="G14" s="21"/>
      <c r="H14" s="24"/>
      <c r="I14" s="26"/>
      <c r="J14" s="15">
        <v>400000</v>
      </c>
      <c r="K14" s="15"/>
      <c r="L14" s="15">
        <f t="shared" si="0"/>
        <v>400000</v>
      </c>
      <c r="M14" s="40" t="s">
        <v>110</v>
      </c>
    </row>
    <row r="15" spans="1:13" s="9" customFormat="1" ht="168" x14ac:dyDescent="0.3">
      <c r="A15" s="48" t="s">
        <v>33</v>
      </c>
      <c r="B15" s="21" t="s">
        <v>45</v>
      </c>
      <c r="C15" s="15" t="s">
        <v>91</v>
      </c>
      <c r="D15" s="22">
        <v>42370</v>
      </c>
      <c r="E15" s="23" t="s">
        <v>15</v>
      </c>
      <c r="F15" s="23" t="s">
        <v>10</v>
      </c>
      <c r="G15" s="21" t="s">
        <v>16</v>
      </c>
      <c r="H15" s="24">
        <v>749900</v>
      </c>
      <c r="I15" s="16">
        <v>3000000</v>
      </c>
      <c r="J15" s="15">
        <v>2000000</v>
      </c>
      <c r="K15" s="15"/>
      <c r="L15" s="15">
        <f t="shared" si="0"/>
        <v>2000000</v>
      </c>
      <c r="M15" s="40" t="s">
        <v>114</v>
      </c>
    </row>
    <row r="16" spans="1:13" s="9" customFormat="1" ht="21" x14ac:dyDescent="0.3">
      <c r="A16" s="49"/>
      <c r="B16" s="21" t="s">
        <v>46</v>
      </c>
      <c r="C16" s="15" t="s">
        <v>73</v>
      </c>
      <c r="D16" s="22"/>
      <c r="E16" s="23"/>
      <c r="F16" s="23"/>
      <c r="G16" s="21"/>
      <c r="H16" s="24"/>
      <c r="I16" s="16"/>
      <c r="J16" s="15">
        <v>1000000</v>
      </c>
      <c r="K16" s="15"/>
      <c r="L16" s="15">
        <f t="shared" si="0"/>
        <v>1000000</v>
      </c>
      <c r="M16" s="40" t="s">
        <v>114</v>
      </c>
    </row>
    <row r="17" spans="1:13" s="9" customFormat="1" ht="21" x14ac:dyDescent="0.3">
      <c r="A17" s="49"/>
      <c r="B17" s="21" t="s">
        <v>47</v>
      </c>
      <c r="C17" s="15" t="s">
        <v>74</v>
      </c>
      <c r="D17" s="22"/>
      <c r="E17" s="23"/>
      <c r="F17" s="23"/>
      <c r="G17" s="21"/>
      <c r="H17" s="24"/>
      <c r="I17" s="16"/>
      <c r="J17" s="15">
        <v>500000</v>
      </c>
      <c r="K17" s="15"/>
      <c r="L17" s="15">
        <f t="shared" si="0"/>
        <v>500000</v>
      </c>
      <c r="M17" s="40" t="s">
        <v>117</v>
      </c>
    </row>
    <row r="18" spans="1:13" s="9" customFormat="1" ht="21" x14ac:dyDescent="0.3">
      <c r="A18" s="50"/>
      <c r="B18" s="21" t="s">
        <v>48</v>
      </c>
      <c r="C18" s="15" t="s">
        <v>75</v>
      </c>
      <c r="D18" s="22"/>
      <c r="E18" s="23"/>
      <c r="F18" s="23"/>
      <c r="G18" s="21"/>
      <c r="H18" s="24"/>
      <c r="I18" s="16"/>
      <c r="J18" s="15">
        <v>500000</v>
      </c>
      <c r="K18" s="15"/>
      <c r="L18" s="15">
        <f t="shared" si="0"/>
        <v>500000</v>
      </c>
      <c r="M18" s="40" t="s">
        <v>117</v>
      </c>
    </row>
    <row r="19" spans="1:13" s="9" customFormat="1" ht="163.19999999999999" x14ac:dyDescent="0.3">
      <c r="A19" s="48" t="s">
        <v>34</v>
      </c>
      <c r="B19" s="21" t="s">
        <v>49</v>
      </c>
      <c r="C19" s="15" t="s">
        <v>76</v>
      </c>
      <c r="D19" s="27" t="s">
        <v>17</v>
      </c>
      <c r="E19" s="57" t="s">
        <v>18</v>
      </c>
      <c r="F19" s="57" t="s">
        <v>19</v>
      </c>
      <c r="G19" s="58" t="s">
        <v>20</v>
      </c>
      <c r="H19" s="59">
        <v>9422230</v>
      </c>
      <c r="I19" s="16">
        <v>4000000</v>
      </c>
      <c r="J19" s="15">
        <v>300000</v>
      </c>
      <c r="K19" s="15"/>
      <c r="L19" s="15">
        <f t="shared" si="0"/>
        <v>300000</v>
      </c>
      <c r="M19" s="40" t="s">
        <v>121</v>
      </c>
    </row>
    <row r="20" spans="1:13" s="9" customFormat="1" ht="20.399999999999999" x14ac:dyDescent="0.3">
      <c r="A20" s="49"/>
      <c r="B20" s="21" t="s">
        <v>50</v>
      </c>
      <c r="C20" s="15" t="s">
        <v>77</v>
      </c>
      <c r="D20" s="27"/>
      <c r="E20" s="57"/>
      <c r="F20" s="57"/>
      <c r="G20" s="58"/>
      <c r="H20" s="59"/>
      <c r="I20" s="16"/>
      <c r="J20" s="15">
        <v>300000</v>
      </c>
      <c r="K20" s="15"/>
      <c r="L20" s="15">
        <f t="shared" si="0"/>
        <v>300000</v>
      </c>
      <c r="M20" s="40" t="s">
        <v>121</v>
      </c>
    </row>
    <row r="21" spans="1:13" s="9" customFormat="1" ht="20.399999999999999" x14ac:dyDescent="0.3">
      <c r="A21" s="49"/>
      <c r="B21" s="21" t="s">
        <v>51</v>
      </c>
      <c r="C21" s="15" t="s">
        <v>78</v>
      </c>
      <c r="D21" s="27"/>
      <c r="E21" s="57"/>
      <c r="F21" s="57"/>
      <c r="G21" s="58"/>
      <c r="H21" s="59"/>
      <c r="I21" s="16"/>
      <c r="J21" s="15">
        <v>200000</v>
      </c>
      <c r="K21" s="15"/>
      <c r="L21" s="15">
        <f t="shared" si="0"/>
        <v>200000</v>
      </c>
      <c r="M21" s="40" t="s">
        <v>124</v>
      </c>
    </row>
    <row r="22" spans="1:13" s="9" customFormat="1" ht="20.399999999999999" x14ac:dyDescent="0.3">
      <c r="A22" s="50"/>
      <c r="B22" s="21" t="s">
        <v>52</v>
      </c>
      <c r="C22" s="15" t="s">
        <v>79</v>
      </c>
      <c r="D22" s="22">
        <v>42522</v>
      </c>
      <c r="E22" s="57"/>
      <c r="F22" s="57"/>
      <c r="G22" s="58"/>
      <c r="H22" s="59"/>
      <c r="I22" s="28">
        <v>0</v>
      </c>
      <c r="J22" s="15">
        <v>200000</v>
      </c>
      <c r="K22" s="15"/>
      <c r="L22" s="15">
        <f t="shared" si="0"/>
        <v>200000</v>
      </c>
      <c r="M22" s="40" t="s">
        <v>124</v>
      </c>
    </row>
    <row r="23" spans="1:13" s="9" customFormat="1" ht="21" x14ac:dyDescent="0.3">
      <c r="A23" s="48" t="s">
        <v>35</v>
      </c>
      <c r="B23" s="21" t="s">
        <v>53</v>
      </c>
      <c r="C23" s="15" t="s">
        <v>80</v>
      </c>
      <c r="D23" s="22"/>
      <c r="E23" s="23"/>
      <c r="F23" s="23"/>
      <c r="G23" s="21"/>
      <c r="H23" s="24"/>
      <c r="I23" s="28"/>
      <c r="J23" s="15">
        <v>800000</v>
      </c>
      <c r="K23" s="15"/>
      <c r="L23" s="15">
        <f t="shared" si="0"/>
        <v>800000</v>
      </c>
      <c r="M23" s="40" t="s">
        <v>126</v>
      </c>
    </row>
    <row r="24" spans="1:13" s="9" customFormat="1" ht="21" x14ac:dyDescent="0.3">
      <c r="A24" s="49"/>
      <c r="B24" s="21" t="s">
        <v>54</v>
      </c>
      <c r="C24" s="15" t="s">
        <v>81</v>
      </c>
      <c r="D24" s="22"/>
      <c r="E24" s="23"/>
      <c r="F24" s="23"/>
      <c r="G24" s="21"/>
      <c r="H24" s="24"/>
      <c r="I24" s="28"/>
      <c r="J24" s="15">
        <v>600000</v>
      </c>
      <c r="K24" s="15"/>
      <c r="L24" s="15">
        <f t="shared" si="0"/>
        <v>600000</v>
      </c>
      <c r="M24" s="40" t="s">
        <v>126</v>
      </c>
    </row>
    <row r="25" spans="1:13" s="9" customFormat="1" ht="21" x14ac:dyDescent="0.3">
      <c r="A25" s="49"/>
      <c r="B25" s="21" t="s">
        <v>55</v>
      </c>
      <c r="C25" s="15" t="s">
        <v>82</v>
      </c>
      <c r="D25" s="22"/>
      <c r="E25" s="23"/>
      <c r="F25" s="23"/>
      <c r="G25" s="21"/>
      <c r="H25" s="24"/>
      <c r="I25" s="28"/>
      <c r="J25" s="15">
        <v>400000</v>
      </c>
      <c r="K25" s="15"/>
      <c r="L25" s="15">
        <f t="shared" si="0"/>
        <v>400000</v>
      </c>
      <c r="M25" s="40" t="s">
        <v>126</v>
      </c>
    </row>
    <row r="26" spans="1:13" s="9" customFormat="1" ht="21" x14ac:dyDescent="0.3">
      <c r="A26" s="50"/>
      <c r="B26" s="21" t="s">
        <v>56</v>
      </c>
      <c r="C26" s="15" t="s">
        <v>83</v>
      </c>
      <c r="D26" s="22"/>
      <c r="E26" s="23"/>
      <c r="F26" s="23"/>
      <c r="G26" s="21"/>
      <c r="H26" s="24"/>
      <c r="I26" s="28"/>
      <c r="J26" s="15">
        <v>200000</v>
      </c>
      <c r="K26" s="15"/>
      <c r="L26" s="15">
        <f t="shared" si="0"/>
        <v>200000</v>
      </c>
      <c r="M26" s="40" t="s">
        <v>126</v>
      </c>
    </row>
    <row r="27" spans="1:13" s="9" customFormat="1" ht="42" x14ac:dyDescent="0.3">
      <c r="A27" s="48" t="s">
        <v>36</v>
      </c>
      <c r="B27" s="21" t="s">
        <v>57</v>
      </c>
      <c r="C27" s="15" t="s">
        <v>84</v>
      </c>
      <c r="D27" s="22">
        <v>42614</v>
      </c>
      <c r="E27" s="29" t="s">
        <v>21</v>
      </c>
      <c r="F27" s="57" t="s">
        <v>22</v>
      </c>
      <c r="G27" s="61" t="s">
        <v>23</v>
      </c>
      <c r="H27" s="28">
        <v>899900</v>
      </c>
      <c r="I27" s="62">
        <v>14500000</v>
      </c>
      <c r="J27" s="15">
        <v>400000</v>
      </c>
      <c r="K27" s="15"/>
      <c r="L27" s="15">
        <f t="shared" si="0"/>
        <v>400000</v>
      </c>
      <c r="M27" s="40" t="s">
        <v>126</v>
      </c>
    </row>
    <row r="28" spans="1:13" s="9" customFormat="1" ht="21" x14ac:dyDescent="0.3">
      <c r="A28" s="49"/>
      <c r="B28" s="21" t="s">
        <v>58</v>
      </c>
      <c r="C28" s="15" t="s">
        <v>85</v>
      </c>
      <c r="D28" s="22"/>
      <c r="E28" s="29"/>
      <c r="F28" s="57"/>
      <c r="G28" s="61"/>
      <c r="H28" s="28"/>
      <c r="I28" s="62"/>
      <c r="J28" s="15">
        <v>300000</v>
      </c>
      <c r="K28" s="15"/>
      <c r="L28" s="15">
        <f t="shared" si="0"/>
        <v>300000</v>
      </c>
      <c r="M28" s="40" t="s">
        <v>126</v>
      </c>
    </row>
    <row r="29" spans="1:13" s="9" customFormat="1" ht="21" x14ac:dyDescent="0.3">
      <c r="A29" s="49"/>
      <c r="B29" s="21" t="s">
        <v>59</v>
      </c>
      <c r="C29" s="15" t="s">
        <v>86</v>
      </c>
      <c r="D29" s="22"/>
      <c r="E29" s="29"/>
      <c r="F29" s="57"/>
      <c r="G29" s="61"/>
      <c r="H29" s="28"/>
      <c r="I29" s="62"/>
      <c r="J29" s="15">
        <v>200000</v>
      </c>
      <c r="K29" s="15"/>
      <c r="L29" s="15">
        <f t="shared" si="0"/>
        <v>200000</v>
      </c>
      <c r="M29" s="40" t="s">
        <v>126</v>
      </c>
    </row>
    <row r="30" spans="1:13" s="9" customFormat="1" ht="21" x14ac:dyDescent="0.3">
      <c r="A30" s="50"/>
      <c r="B30" s="21" t="s">
        <v>60</v>
      </c>
      <c r="C30" s="15" t="s">
        <v>61</v>
      </c>
      <c r="D30" s="22"/>
      <c r="E30" s="29"/>
      <c r="F30" s="57"/>
      <c r="G30" s="61"/>
      <c r="H30" s="28"/>
      <c r="I30" s="62"/>
      <c r="J30" s="15">
        <v>100000</v>
      </c>
      <c r="K30" s="15"/>
      <c r="L30" s="15">
        <f t="shared" si="0"/>
        <v>100000</v>
      </c>
      <c r="M30" s="40" t="s">
        <v>126</v>
      </c>
    </row>
    <row r="31" spans="1:13" s="9" customFormat="1" ht="168" x14ac:dyDescent="0.3">
      <c r="A31" s="48" t="s">
        <v>37</v>
      </c>
      <c r="B31" s="21" t="s">
        <v>62</v>
      </c>
      <c r="C31" s="15" t="s">
        <v>87</v>
      </c>
      <c r="D31" s="22">
        <v>42644</v>
      </c>
      <c r="E31" s="23" t="s">
        <v>24</v>
      </c>
      <c r="F31" s="57"/>
      <c r="G31" s="61"/>
      <c r="H31" s="28">
        <v>0</v>
      </c>
      <c r="I31" s="62"/>
      <c r="J31" s="15">
        <v>300000</v>
      </c>
      <c r="K31" s="15"/>
      <c r="L31" s="15">
        <f t="shared" si="0"/>
        <v>300000</v>
      </c>
      <c r="M31" s="40" t="s">
        <v>126</v>
      </c>
    </row>
    <row r="32" spans="1:13" s="9" customFormat="1" ht="21" x14ac:dyDescent="0.3">
      <c r="A32" s="49"/>
      <c r="B32" s="21" t="s">
        <v>63</v>
      </c>
      <c r="C32" s="15" t="s">
        <v>88</v>
      </c>
      <c r="D32" s="22"/>
      <c r="E32" s="23"/>
      <c r="F32" s="23"/>
      <c r="G32" s="30"/>
      <c r="H32" s="28"/>
      <c r="I32" s="16"/>
      <c r="J32" s="15">
        <v>300000</v>
      </c>
      <c r="K32" s="15"/>
      <c r="L32" s="15">
        <f t="shared" si="0"/>
        <v>300000</v>
      </c>
      <c r="M32" s="40" t="s">
        <v>126</v>
      </c>
    </row>
    <row r="33" spans="1:13" s="9" customFormat="1" ht="21" x14ac:dyDescent="0.3">
      <c r="A33" s="49"/>
      <c r="B33" s="21" t="s">
        <v>64</v>
      </c>
      <c r="C33" s="15" t="s">
        <v>89</v>
      </c>
      <c r="D33" s="22"/>
      <c r="E33" s="23"/>
      <c r="F33" s="23"/>
      <c r="G33" s="30"/>
      <c r="H33" s="28"/>
      <c r="I33" s="16"/>
      <c r="J33" s="15">
        <v>200000</v>
      </c>
      <c r="K33" s="15"/>
      <c r="L33" s="15">
        <f t="shared" si="0"/>
        <v>200000</v>
      </c>
      <c r="M33" s="40" t="s">
        <v>126</v>
      </c>
    </row>
    <row r="34" spans="1:13" s="9" customFormat="1" ht="21" x14ac:dyDescent="0.3">
      <c r="A34" s="50"/>
      <c r="B34" s="21" t="s">
        <v>65</v>
      </c>
      <c r="C34" s="15" t="s">
        <v>90</v>
      </c>
      <c r="D34" s="22"/>
      <c r="E34" s="23"/>
      <c r="F34" s="23"/>
      <c r="G34" s="30"/>
      <c r="H34" s="28"/>
      <c r="I34" s="16"/>
      <c r="J34" s="15">
        <v>200000</v>
      </c>
      <c r="K34" s="15"/>
      <c r="L34" s="15">
        <f t="shared" si="0"/>
        <v>200000</v>
      </c>
      <c r="M34" s="40" t="s">
        <v>126</v>
      </c>
    </row>
    <row r="35" spans="1:13" s="9" customFormat="1" ht="21" thickBot="1" x14ac:dyDescent="0.4">
      <c r="A35" s="45" t="s">
        <v>66</v>
      </c>
      <c r="B35" s="46"/>
      <c r="C35" s="46"/>
      <c r="D35" s="46"/>
      <c r="E35" s="46"/>
      <c r="F35" s="46"/>
      <c r="G35" s="47"/>
      <c r="H35" s="31">
        <f>SUM(H9:H31)</f>
        <v>20831230</v>
      </c>
      <c r="I35" s="32">
        <f>SUM(I9:I31)</f>
        <v>38000000</v>
      </c>
      <c r="J35" s="33">
        <f>SUM(J9:J34)</f>
        <v>12000000</v>
      </c>
      <c r="K35" s="34">
        <f>SUM(K9:K34)</f>
        <v>0</v>
      </c>
      <c r="L35" s="34">
        <f>SUM(L9:L34)</f>
        <v>12000000</v>
      </c>
      <c r="M35" s="41"/>
    </row>
    <row r="36" spans="1:13" s="7" customFormat="1" ht="26.25" customHeight="1" x14ac:dyDescent="0.35">
      <c r="A36" s="1"/>
      <c r="B36"/>
      <c r="C36" s="1"/>
      <c r="D36"/>
      <c r="E36"/>
      <c r="F36"/>
      <c r="G36"/>
      <c r="H36" s="5"/>
      <c r="I36" s="5"/>
      <c r="J36"/>
      <c r="K36" s="6"/>
      <c r="M36" s="42"/>
    </row>
    <row r="37" spans="1:13" s="7" customFormat="1" ht="26.25" customHeight="1" x14ac:dyDescent="0.35">
      <c r="A37" s="1"/>
      <c r="B37"/>
      <c r="C37" s="1"/>
      <c r="D37"/>
      <c r="E37"/>
      <c r="F37"/>
      <c r="G37"/>
      <c r="H37" s="5"/>
      <c r="I37" s="5"/>
      <c r="J37"/>
      <c r="K37" s="6"/>
      <c r="M37" s="42"/>
    </row>
    <row r="38" spans="1:13" s="7" customFormat="1" ht="26.25" customHeight="1" x14ac:dyDescent="0.35">
      <c r="A38" s="1"/>
      <c r="B38"/>
      <c r="C38" s="1"/>
      <c r="D38"/>
      <c r="E38"/>
      <c r="F38"/>
      <c r="G38"/>
      <c r="H38" s="5"/>
      <c r="I38" s="5"/>
      <c r="J38"/>
      <c r="K38" s="6"/>
      <c r="M38" s="42"/>
    </row>
    <row r="39" spans="1:13" s="7" customFormat="1" ht="26.25" customHeight="1" x14ac:dyDescent="0.35">
      <c r="A39" s="1"/>
      <c r="B39"/>
      <c r="C39" s="1"/>
      <c r="D39"/>
      <c r="E39"/>
      <c r="F39"/>
      <c r="G39"/>
      <c r="H39" s="5"/>
      <c r="I39" s="5"/>
      <c r="J39"/>
      <c r="K39" s="6"/>
      <c r="M39" s="42"/>
    </row>
    <row r="40" spans="1:13" s="7" customFormat="1" ht="26.25" customHeight="1" x14ac:dyDescent="0.35">
      <c r="A40" s="1"/>
      <c r="B40"/>
      <c r="C40" s="1"/>
      <c r="D40"/>
      <c r="E40"/>
      <c r="F40"/>
      <c r="G40"/>
      <c r="H40" s="5"/>
      <c r="I40" s="5"/>
      <c r="J40"/>
      <c r="K40" s="6"/>
      <c r="M40" s="42"/>
    </row>
    <row r="41" spans="1:13" s="7" customFormat="1" ht="26.25" customHeight="1" x14ac:dyDescent="0.35">
      <c r="A41" s="1"/>
      <c r="B41"/>
      <c r="C41" s="1"/>
      <c r="D41"/>
      <c r="E41"/>
      <c r="F41"/>
      <c r="G41"/>
      <c r="H41" s="5"/>
      <c r="I41" s="5"/>
      <c r="J41"/>
      <c r="K41" s="6"/>
      <c r="M41" s="42"/>
    </row>
    <row r="42" spans="1:13" s="7" customFormat="1" ht="26.25" customHeight="1" x14ac:dyDescent="0.35">
      <c r="A42" s="1"/>
      <c r="B42"/>
      <c r="C42" s="1"/>
      <c r="D42"/>
      <c r="E42"/>
      <c r="F42"/>
      <c r="G42"/>
      <c r="H42" s="5"/>
      <c r="I42" s="5"/>
      <c r="J42"/>
      <c r="K42" s="6"/>
      <c r="M42" s="42"/>
    </row>
    <row r="43" spans="1:13" s="7" customFormat="1" ht="26.25" customHeight="1" x14ac:dyDescent="0.35">
      <c r="A43" s="1"/>
      <c r="B43"/>
      <c r="C43" s="1"/>
      <c r="D43"/>
      <c r="E43"/>
      <c r="F43"/>
      <c r="G43"/>
      <c r="H43" s="5"/>
      <c r="I43" s="5"/>
      <c r="J43"/>
      <c r="K43" s="6"/>
      <c r="M43" s="42"/>
    </row>
    <row r="44" spans="1:13" s="7" customFormat="1" ht="26.25" customHeight="1" x14ac:dyDescent="0.35">
      <c r="A44" s="1"/>
      <c r="B44"/>
      <c r="C44" s="1"/>
      <c r="D44"/>
      <c r="E44"/>
      <c r="F44"/>
      <c r="G44"/>
      <c r="H44" s="5"/>
      <c r="I44" s="5"/>
      <c r="J44"/>
      <c r="K44" s="6"/>
      <c r="M44" s="42"/>
    </row>
    <row r="45" spans="1:13" s="7" customFormat="1" ht="26.25" customHeight="1" x14ac:dyDescent="0.35">
      <c r="A45" s="1"/>
      <c r="B45"/>
      <c r="C45" s="1"/>
      <c r="D45"/>
      <c r="E45"/>
      <c r="F45"/>
      <c r="G45"/>
      <c r="H45" s="5"/>
      <c r="I45" s="5"/>
      <c r="J45"/>
      <c r="K45" s="6"/>
      <c r="M45" s="42"/>
    </row>
    <row r="46" spans="1:13" s="7" customFormat="1" ht="26.25" customHeight="1" x14ac:dyDescent="0.35">
      <c r="A46" s="1"/>
      <c r="B46"/>
      <c r="C46" s="1"/>
      <c r="D46"/>
      <c r="E46"/>
      <c r="F46"/>
      <c r="G46"/>
      <c r="H46" s="5"/>
      <c r="I46" s="5"/>
      <c r="J46"/>
      <c r="K46" s="6"/>
      <c r="M46" s="42"/>
    </row>
    <row r="47" spans="1:13" s="7" customFormat="1" ht="26.25" customHeight="1" x14ac:dyDescent="0.35">
      <c r="A47" s="1"/>
      <c r="B47"/>
      <c r="C47" s="1"/>
      <c r="D47"/>
      <c r="E47"/>
      <c r="F47"/>
      <c r="G47"/>
      <c r="H47" s="5"/>
      <c r="I47" s="5"/>
      <c r="J47"/>
      <c r="K47" s="6"/>
      <c r="M47" s="42"/>
    </row>
    <row r="48" spans="1:13" s="7" customFormat="1" ht="26.25" customHeight="1" x14ac:dyDescent="0.35">
      <c r="A48" s="1"/>
      <c r="B48"/>
      <c r="C48" s="1"/>
      <c r="D48"/>
      <c r="E48"/>
      <c r="F48"/>
      <c r="G48"/>
      <c r="H48" s="5"/>
      <c r="I48" s="5"/>
      <c r="J48"/>
      <c r="K48" s="6"/>
      <c r="M48" s="42"/>
    </row>
    <row r="49" spans="1:13" s="7" customFormat="1" ht="26.25" customHeight="1" x14ac:dyDescent="0.35">
      <c r="A49" s="1"/>
      <c r="B49"/>
      <c r="C49" s="1"/>
      <c r="D49"/>
      <c r="E49"/>
      <c r="F49"/>
      <c r="G49"/>
      <c r="H49" s="5"/>
      <c r="I49" s="5"/>
      <c r="J49"/>
      <c r="K49" s="6"/>
      <c r="M49" s="42"/>
    </row>
    <row r="50" spans="1:13" s="7" customFormat="1" ht="26.25" customHeight="1" x14ac:dyDescent="0.35">
      <c r="A50" s="1"/>
      <c r="B50"/>
      <c r="C50" s="1"/>
      <c r="D50"/>
      <c r="E50"/>
      <c r="F50"/>
      <c r="G50"/>
      <c r="H50" s="5"/>
      <c r="I50" s="5"/>
      <c r="J50"/>
      <c r="K50" s="6"/>
      <c r="M50" s="42"/>
    </row>
    <row r="51" spans="1:13" s="7" customFormat="1" ht="26.25" customHeight="1" x14ac:dyDescent="0.35">
      <c r="A51" s="1"/>
      <c r="B51"/>
      <c r="C51" s="1"/>
      <c r="D51"/>
      <c r="E51"/>
      <c r="F51"/>
      <c r="G51"/>
      <c r="H51" s="5"/>
      <c r="I51" s="5"/>
      <c r="J51"/>
      <c r="K51" s="6"/>
      <c r="M51" s="42"/>
    </row>
    <row r="52" spans="1:13" s="7" customFormat="1" ht="26.25" customHeight="1" x14ac:dyDescent="0.35">
      <c r="A52" s="1"/>
      <c r="B52"/>
      <c r="C52" s="1"/>
      <c r="D52"/>
      <c r="E52"/>
      <c r="F52"/>
      <c r="G52"/>
      <c r="H52" s="5"/>
      <c r="I52" s="5"/>
      <c r="J52"/>
      <c r="K52" s="6"/>
      <c r="M52" s="42"/>
    </row>
    <row r="53" spans="1:13" s="7" customFormat="1" ht="26.25" customHeight="1" x14ac:dyDescent="0.35">
      <c r="A53" s="1"/>
      <c r="B53"/>
      <c r="C53" s="1"/>
      <c r="D53"/>
      <c r="E53"/>
      <c r="F53"/>
      <c r="G53"/>
      <c r="H53" s="5"/>
      <c r="I53" s="5"/>
      <c r="J53"/>
      <c r="K53" s="6"/>
      <c r="M53" s="42"/>
    </row>
    <row r="54" spans="1:13" s="7" customFormat="1" ht="26.25" customHeight="1" x14ac:dyDescent="0.35">
      <c r="A54" s="1"/>
      <c r="B54"/>
      <c r="C54" s="1"/>
      <c r="D54"/>
      <c r="E54"/>
      <c r="F54"/>
      <c r="G54"/>
      <c r="H54" s="5"/>
      <c r="I54" s="5"/>
      <c r="J54"/>
      <c r="K54" s="6"/>
      <c r="M54" s="42"/>
    </row>
    <row r="55" spans="1:13" s="7" customFormat="1" ht="26.25" customHeight="1" x14ac:dyDescent="0.35">
      <c r="A55" s="1"/>
      <c r="B55"/>
      <c r="C55" s="1"/>
      <c r="D55"/>
      <c r="E55"/>
      <c r="F55"/>
      <c r="G55"/>
      <c r="H55" s="5"/>
      <c r="I55" s="5"/>
      <c r="J55"/>
      <c r="K55" s="6"/>
      <c r="M55" s="42"/>
    </row>
    <row r="56" spans="1:13" s="7" customFormat="1" ht="26.25" customHeight="1" x14ac:dyDescent="0.35">
      <c r="A56" s="1"/>
      <c r="B56"/>
      <c r="C56" s="1"/>
      <c r="D56"/>
      <c r="E56"/>
      <c r="F56"/>
      <c r="G56"/>
      <c r="H56" s="5"/>
      <c r="I56" s="5"/>
      <c r="J56"/>
      <c r="K56" s="6"/>
      <c r="M56" s="42"/>
    </row>
    <row r="57" spans="1:13" s="7" customFormat="1" ht="26.25" customHeight="1" x14ac:dyDescent="0.35">
      <c r="A57" s="1"/>
      <c r="B57"/>
      <c r="C57" s="1"/>
      <c r="D57"/>
      <c r="E57"/>
      <c r="F57"/>
      <c r="G57"/>
      <c r="H57" s="5"/>
      <c r="I57" s="5"/>
      <c r="J57"/>
      <c r="K57" s="6"/>
      <c r="M57" s="42"/>
    </row>
    <row r="58" spans="1:13" s="7" customFormat="1" ht="26.25" customHeight="1" x14ac:dyDescent="0.35">
      <c r="A58" s="1"/>
      <c r="B58"/>
      <c r="C58" s="1"/>
      <c r="D58"/>
      <c r="E58"/>
      <c r="F58"/>
      <c r="G58"/>
      <c r="H58" s="5"/>
      <c r="I58" s="5"/>
      <c r="J58"/>
      <c r="K58" s="6"/>
      <c r="M58" s="42"/>
    </row>
    <row r="59" spans="1:13" s="7" customFormat="1" ht="26.25" customHeight="1" x14ac:dyDescent="0.35">
      <c r="A59" s="1"/>
      <c r="B59"/>
      <c r="C59" s="1"/>
      <c r="D59"/>
      <c r="E59"/>
      <c r="F59"/>
      <c r="G59"/>
      <c r="H59" s="5"/>
      <c r="I59" s="5"/>
      <c r="J59"/>
      <c r="K59" s="6"/>
      <c r="M59" s="42"/>
    </row>
    <row r="60" spans="1:13" s="7" customFormat="1" ht="26.25" customHeight="1" x14ac:dyDescent="0.35">
      <c r="A60" s="1"/>
      <c r="B60"/>
      <c r="C60" s="1"/>
      <c r="D60"/>
      <c r="E60"/>
      <c r="F60"/>
      <c r="G60"/>
      <c r="H60" s="5"/>
      <c r="I60" s="5"/>
      <c r="J60"/>
      <c r="K60" s="6"/>
      <c r="M60" s="42"/>
    </row>
    <row r="61" spans="1:13" s="7" customFormat="1" ht="26.25" customHeight="1" x14ac:dyDescent="0.35">
      <c r="A61" s="1"/>
      <c r="B61"/>
      <c r="C61" s="1"/>
      <c r="D61"/>
      <c r="E61"/>
      <c r="F61"/>
      <c r="G61"/>
      <c r="H61" s="5"/>
      <c r="I61" s="5"/>
      <c r="J61"/>
      <c r="K61" s="6"/>
      <c r="M61" s="42"/>
    </row>
    <row r="62" spans="1:13" s="7" customFormat="1" ht="26.25" customHeight="1" x14ac:dyDescent="0.35">
      <c r="A62" s="1"/>
      <c r="B62"/>
      <c r="C62" s="1"/>
      <c r="D62"/>
      <c r="E62"/>
      <c r="F62"/>
      <c r="G62"/>
      <c r="H62" s="5"/>
      <c r="I62" s="5"/>
      <c r="J62"/>
      <c r="K62" s="6"/>
      <c r="M62" s="42"/>
    </row>
    <row r="63" spans="1:13" s="7" customFormat="1" ht="26.25" customHeight="1" x14ac:dyDescent="0.35">
      <c r="A63" s="1"/>
      <c r="B63"/>
      <c r="C63" s="1"/>
      <c r="D63"/>
      <c r="E63"/>
      <c r="F63"/>
      <c r="G63"/>
      <c r="H63" s="5"/>
      <c r="I63" s="5"/>
      <c r="J63"/>
      <c r="K63" s="6"/>
      <c r="M63" s="42"/>
    </row>
    <row r="64" spans="1:13" s="7" customFormat="1" ht="26.25" customHeight="1" x14ac:dyDescent="0.35">
      <c r="A64" s="1"/>
      <c r="B64"/>
      <c r="C64" s="1"/>
      <c r="D64"/>
      <c r="E64"/>
      <c r="F64"/>
      <c r="G64"/>
      <c r="H64" s="5"/>
      <c r="I64" s="5"/>
      <c r="J64"/>
      <c r="K64" s="6"/>
      <c r="M64" s="42"/>
    </row>
    <row r="65" spans="1:13" s="7" customFormat="1" ht="26.25" customHeight="1" x14ac:dyDescent="0.35">
      <c r="A65" s="1"/>
      <c r="B65"/>
      <c r="C65" s="1"/>
      <c r="D65"/>
      <c r="E65"/>
      <c r="F65"/>
      <c r="G65"/>
      <c r="H65" s="5"/>
      <c r="I65" s="5"/>
      <c r="J65"/>
      <c r="K65" s="6"/>
      <c r="M65" s="42"/>
    </row>
    <row r="66" spans="1:13" s="7" customFormat="1" ht="26.25" customHeight="1" x14ac:dyDescent="0.35">
      <c r="A66" s="1"/>
      <c r="B66"/>
      <c r="C66" s="1"/>
      <c r="D66"/>
      <c r="E66"/>
      <c r="F66"/>
      <c r="G66"/>
      <c r="H66" s="5"/>
      <c r="I66" s="5"/>
      <c r="J66"/>
      <c r="K66" s="6"/>
      <c r="M66" s="42"/>
    </row>
    <row r="67" spans="1:13" s="7" customFormat="1" ht="26.25" customHeight="1" x14ac:dyDescent="0.35">
      <c r="A67" s="1"/>
      <c r="B67"/>
      <c r="C67" s="1"/>
      <c r="D67"/>
      <c r="E67"/>
      <c r="F67"/>
      <c r="G67"/>
      <c r="H67" s="5"/>
      <c r="I67" s="5"/>
      <c r="J67"/>
      <c r="K67" s="6"/>
      <c r="M67" s="42"/>
    </row>
    <row r="68" spans="1:13" s="7" customFormat="1" ht="26.25" customHeight="1" x14ac:dyDescent="0.35">
      <c r="A68" s="1"/>
      <c r="B68"/>
      <c r="C68" s="1"/>
      <c r="D68"/>
      <c r="E68"/>
      <c r="F68"/>
      <c r="G68"/>
      <c r="H68" s="5"/>
      <c r="I68" s="5"/>
      <c r="J68"/>
      <c r="K68" s="6"/>
      <c r="M68" s="42"/>
    </row>
    <row r="69" spans="1:13" s="7" customFormat="1" ht="26.25" customHeight="1" x14ac:dyDescent="0.35">
      <c r="A69" s="1"/>
      <c r="B69"/>
      <c r="C69" s="1"/>
      <c r="D69"/>
      <c r="E69"/>
      <c r="F69"/>
      <c r="G69"/>
      <c r="H69" s="5"/>
      <c r="I69" s="5"/>
      <c r="J69"/>
      <c r="K69" s="6"/>
      <c r="M69" s="42"/>
    </row>
    <row r="70" spans="1:13" s="7" customFormat="1" ht="26.25" customHeight="1" x14ac:dyDescent="0.35">
      <c r="A70" s="1"/>
      <c r="B70"/>
      <c r="C70" s="1"/>
      <c r="D70"/>
      <c r="E70"/>
      <c r="F70"/>
      <c r="G70"/>
      <c r="H70" s="5"/>
      <c r="I70" s="5"/>
      <c r="J70"/>
      <c r="K70" s="6"/>
      <c r="M70" s="42"/>
    </row>
    <row r="71" spans="1:13" s="7" customFormat="1" ht="26.25" customHeight="1" x14ac:dyDescent="0.35">
      <c r="A71" s="1"/>
      <c r="B71"/>
      <c r="C71" s="1"/>
      <c r="D71"/>
      <c r="E71"/>
      <c r="F71"/>
      <c r="G71"/>
      <c r="H71" s="5"/>
      <c r="I71" s="5"/>
      <c r="J71"/>
      <c r="K71" s="6"/>
      <c r="M71" s="42"/>
    </row>
    <row r="72" spans="1:13" s="7" customFormat="1" ht="26.25" customHeight="1" x14ac:dyDescent="0.35">
      <c r="A72" s="1"/>
      <c r="B72"/>
      <c r="C72" s="1"/>
      <c r="D72"/>
      <c r="E72"/>
      <c r="F72"/>
      <c r="G72"/>
      <c r="H72" s="5"/>
      <c r="I72" s="5"/>
      <c r="J72"/>
      <c r="K72" s="6"/>
      <c r="M72" s="42"/>
    </row>
    <row r="73" spans="1:13" s="7" customFormat="1" ht="26.25" customHeight="1" x14ac:dyDescent="0.35">
      <c r="A73" s="1"/>
      <c r="B73"/>
      <c r="C73" s="1"/>
      <c r="D73"/>
      <c r="E73"/>
      <c r="F73"/>
      <c r="G73"/>
      <c r="H73" s="5"/>
      <c r="I73" s="5"/>
      <c r="J73"/>
      <c r="K73" s="6"/>
      <c r="M73" s="42"/>
    </row>
    <row r="74" spans="1:13" s="7" customFormat="1" ht="26.25" customHeight="1" x14ac:dyDescent="0.35">
      <c r="A74" s="1"/>
      <c r="B74"/>
      <c r="C74" s="1"/>
      <c r="D74"/>
      <c r="E74"/>
      <c r="F74"/>
      <c r="G74"/>
      <c r="H74" s="5"/>
      <c r="I74" s="5"/>
      <c r="J74"/>
      <c r="K74" s="6"/>
      <c r="M74" s="42"/>
    </row>
    <row r="75" spans="1:13" s="7" customFormat="1" ht="26.25" customHeight="1" x14ac:dyDescent="0.35">
      <c r="A75" s="1"/>
      <c r="B75"/>
      <c r="C75" s="1"/>
      <c r="D75"/>
      <c r="E75"/>
      <c r="F75"/>
      <c r="G75"/>
      <c r="H75" s="5"/>
      <c r="I75" s="5"/>
      <c r="J75"/>
      <c r="K75" s="6"/>
      <c r="M75" s="42"/>
    </row>
    <row r="76" spans="1:13" s="7" customFormat="1" ht="26.25" customHeight="1" x14ac:dyDescent="0.35">
      <c r="A76" s="1"/>
      <c r="B76"/>
      <c r="C76" s="1"/>
      <c r="D76"/>
      <c r="E76"/>
      <c r="F76"/>
      <c r="G76"/>
      <c r="H76" s="5"/>
      <c r="I76" s="5"/>
      <c r="J76"/>
      <c r="K76" s="6"/>
      <c r="M76" s="42"/>
    </row>
    <row r="77" spans="1:13" s="7" customFormat="1" ht="26.25" customHeight="1" x14ac:dyDescent="0.35">
      <c r="A77" s="1"/>
      <c r="B77"/>
      <c r="C77" s="1"/>
      <c r="D77"/>
      <c r="E77"/>
      <c r="F77"/>
      <c r="G77"/>
      <c r="H77" s="5"/>
      <c r="I77" s="5"/>
      <c r="J77"/>
      <c r="K77" s="6"/>
      <c r="M77" s="42"/>
    </row>
    <row r="78" spans="1:13" s="7" customFormat="1" ht="26.25" customHeight="1" x14ac:dyDescent="0.35">
      <c r="A78" s="1"/>
      <c r="B78"/>
      <c r="C78" s="1"/>
      <c r="D78"/>
      <c r="E78"/>
      <c r="F78"/>
      <c r="G78"/>
      <c r="H78" s="5"/>
      <c r="I78" s="5"/>
      <c r="J78"/>
      <c r="K78" s="6"/>
      <c r="M78" s="42"/>
    </row>
    <row r="79" spans="1:13" s="7" customFormat="1" ht="26.25" customHeight="1" x14ac:dyDescent="0.35">
      <c r="A79" s="1"/>
      <c r="B79"/>
      <c r="C79" s="1"/>
      <c r="D79"/>
      <c r="E79"/>
      <c r="F79"/>
      <c r="G79"/>
      <c r="H79" s="5"/>
      <c r="I79" s="5"/>
      <c r="J79"/>
      <c r="K79" s="6"/>
      <c r="M79" s="42"/>
    </row>
    <row r="80" spans="1:13" s="7" customFormat="1" ht="26.25" customHeight="1" x14ac:dyDescent="0.35">
      <c r="A80" s="1"/>
      <c r="B80"/>
      <c r="C80" s="1"/>
      <c r="D80"/>
      <c r="E80"/>
      <c r="F80"/>
      <c r="G80"/>
      <c r="H80" s="5"/>
      <c r="I80" s="5"/>
      <c r="J80"/>
      <c r="K80" s="6"/>
      <c r="M80" s="42"/>
    </row>
    <row r="81" spans="1:13" s="7" customFormat="1" ht="26.25" customHeight="1" x14ac:dyDescent="0.35">
      <c r="A81" s="1"/>
      <c r="B81"/>
      <c r="C81" s="1"/>
      <c r="D81"/>
      <c r="E81"/>
      <c r="F81"/>
      <c r="G81"/>
      <c r="H81" s="5"/>
      <c r="I81" s="5"/>
      <c r="J81"/>
      <c r="K81" s="6"/>
      <c r="M81" s="42"/>
    </row>
    <row r="82" spans="1:13" s="7" customFormat="1" ht="26.25" customHeight="1" x14ac:dyDescent="0.35">
      <c r="A82" s="1"/>
      <c r="B82"/>
      <c r="C82" s="1"/>
      <c r="D82"/>
      <c r="E82"/>
      <c r="F82"/>
      <c r="G82"/>
      <c r="H82" s="5"/>
      <c r="I82" s="5"/>
      <c r="J82"/>
      <c r="K82" s="6"/>
      <c r="M82" s="42"/>
    </row>
    <row r="83" spans="1:13" s="7" customFormat="1" ht="26.25" customHeight="1" x14ac:dyDescent="0.35">
      <c r="A83" s="1"/>
      <c r="B83"/>
      <c r="C83" s="1"/>
      <c r="D83"/>
      <c r="E83"/>
      <c r="F83"/>
      <c r="G83"/>
      <c r="H83" s="5"/>
      <c r="I83" s="5"/>
      <c r="J83"/>
      <c r="K83" s="6"/>
      <c r="M83" s="42"/>
    </row>
    <row r="84" spans="1:13" s="7" customFormat="1" ht="26.25" customHeight="1" x14ac:dyDescent="0.35">
      <c r="A84" s="1"/>
      <c r="B84"/>
      <c r="C84" s="1"/>
      <c r="D84"/>
      <c r="E84"/>
      <c r="F84"/>
      <c r="G84"/>
      <c r="H84" s="5"/>
      <c r="I84" s="5"/>
      <c r="J84"/>
      <c r="K84" s="6"/>
      <c r="M84" s="42"/>
    </row>
    <row r="85" spans="1:13" s="7" customFormat="1" ht="26.25" customHeight="1" x14ac:dyDescent="0.35">
      <c r="A85" s="1"/>
      <c r="B85"/>
      <c r="C85" s="1"/>
      <c r="D85"/>
      <c r="E85"/>
      <c r="F85"/>
      <c r="G85"/>
      <c r="H85" s="5"/>
      <c r="I85" s="5"/>
      <c r="J85"/>
      <c r="K85" s="6"/>
      <c r="M85" s="42"/>
    </row>
    <row r="86" spans="1:13" s="7" customFormat="1" ht="26.25" customHeight="1" x14ac:dyDescent="0.35">
      <c r="A86" s="1"/>
      <c r="B86"/>
      <c r="C86" s="1"/>
      <c r="D86"/>
      <c r="E86"/>
      <c r="F86"/>
      <c r="G86"/>
      <c r="H86" s="5"/>
      <c r="I86" s="5"/>
      <c r="J86"/>
      <c r="K86" s="6"/>
      <c r="M86" s="42"/>
    </row>
    <row r="87" spans="1:13" s="7" customFormat="1" ht="26.25" customHeight="1" x14ac:dyDescent="0.35">
      <c r="A87" s="1"/>
      <c r="B87"/>
      <c r="C87" s="1"/>
      <c r="D87"/>
      <c r="E87"/>
      <c r="F87"/>
      <c r="G87"/>
      <c r="H87" s="5"/>
      <c r="I87" s="5"/>
      <c r="J87"/>
      <c r="K87" s="6"/>
      <c r="M87" s="42"/>
    </row>
    <row r="88" spans="1:13" s="7" customFormat="1" ht="26.25" customHeight="1" x14ac:dyDescent="0.35">
      <c r="A88" s="1"/>
      <c r="B88"/>
      <c r="C88" s="1"/>
      <c r="D88"/>
      <c r="E88"/>
      <c r="F88"/>
      <c r="G88"/>
      <c r="H88" s="5"/>
      <c r="I88" s="5"/>
      <c r="J88"/>
      <c r="K88" s="6"/>
      <c r="M88" s="42"/>
    </row>
    <row r="89" spans="1:13" s="7" customFormat="1" ht="26.25" customHeight="1" x14ac:dyDescent="0.35">
      <c r="A89" s="1"/>
      <c r="B89"/>
      <c r="C89" s="1"/>
      <c r="D89"/>
      <c r="E89"/>
      <c r="F89"/>
      <c r="G89"/>
      <c r="H89" s="5"/>
      <c r="I89" s="5"/>
      <c r="J89"/>
      <c r="K89" s="6"/>
      <c r="M89" s="42"/>
    </row>
    <row r="90" spans="1:13" s="7" customFormat="1" ht="26.25" customHeight="1" x14ac:dyDescent="0.35">
      <c r="A90" s="1"/>
      <c r="B90"/>
      <c r="C90" s="1"/>
      <c r="D90"/>
      <c r="E90"/>
      <c r="F90"/>
      <c r="G90"/>
      <c r="H90" s="5"/>
      <c r="I90" s="5"/>
      <c r="J90"/>
      <c r="K90" s="6"/>
      <c r="M90" s="42"/>
    </row>
    <row r="91" spans="1:13" s="7" customFormat="1" ht="26.25" customHeight="1" x14ac:dyDescent="0.35">
      <c r="A91" s="1"/>
      <c r="B91"/>
      <c r="C91" s="1"/>
      <c r="D91"/>
      <c r="E91"/>
      <c r="F91"/>
      <c r="G91"/>
      <c r="H91" s="5"/>
      <c r="I91" s="5"/>
      <c r="J91"/>
      <c r="K91" s="6"/>
      <c r="M91" s="42"/>
    </row>
  </sheetData>
  <mergeCells count="21">
    <mergeCell ref="A9:A10"/>
    <mergeCell ref="A11:A14"/>
    <mergeCell ref="A15:A18"/>
    <mergeCell ref="A19:A22"/>
    <mergeCell ref="A23:A26"/>
    <mergeCell ref="A35:G35"/>
    <mergeCell ref="A27:A30"/>
    <mergeCell ref="A31:A34"/>
    <mergeCell ref="A1:L1"/>
    <mergeCell ref="A2:L2"/>
    <mergeCell ref="A5:L5"/>
    <mergeCell ref="A7:L7"/>
    <mergeCell ref="E19:E22"/>
    <mergeCell ref="F19:F22"/>
    <mergeCell ref="G19:G22"/>
    <mergeCell ref="H19:H22"/>
    <mergeCell ref="A3:L3"/>
    <mergeCell ref="C4:K4"/>
    <mergeCell ref="F27:F31"/>
    <mergeCell ref="G27:G31"/>
    <mergeCell ref="I27:I31"/>
  </mergeCells>
  <phoneticPr fontId="21" type="noConversion"/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AE45-7C67-44AC-9BE9-E624BB14307A}">
  <dimension ref="A1:G75"/>
  <sheetViews>
    <sheetView tabSelected="1" topLeftCell="A80" workbookViewId="0">
      <selection activeCell="A39" sqref="A39"/>
    </sheetView>
  </sheetViews>
  <sheetFormatPr defaultRowHeight="14.4" x14ac:dyDescent="0.3"/>
  <cols>
    <col min="1" max="1" width="48" bestFit="1" customWidth="1"/>
    <col min="2" max="2" width="22.6640625" bestFit="1" customWidth="1"/>
    <col min="3" max="3" width="22.33203125" bestFit="1" customWidth="1"/>
    <col min="4" max="5" width="19.44140625" bestFit="1" customWidth="1"/>
    <col min="7" max="7" width="49.77734375" bestFit="1" customWidth="1"/>
  </cols>
  <sheetData>
    <row r="1" spans="1:7" ht="15.6" x14ac:dyDescent="0.3">
      <c r="A1" s="36" t="s">
        <v>92</v>
      </c>
      <c r="B1" s="36" t="s">
        <v>93</v>
      </c>
      <c r="C1" s="36" t="s">
        <v>94</v>
      </c>
      <c r="D1" s="36" t="s">
        <v>95</v>
      </c>
      <c r="E1" s="36" t="s">
        <v>96</v>
      </c>
    </row>
    <row r="2" spans="1:7" x14ac:dyDescent="0.3">
      <c r="A2" s="37" t="s">
        <v>31</v>
      </c>
      <c r="B2" s="37" t="s">
        <v>97</v>
      </c>
      <c r="C2" t="s">
        <v>98</v>
      </c>
      <c r="D2" t="s">
        <v>98</v>
      </c>
      <c r="E2" t="s">
        <v>98</v>
      </c>
      <c r="G2" s="43" t="s">
        <v>142</v>
      </c>
    </row>
    <row r="3" spans="1:7" x14ac:dyDescent="0.3">
      <c r="A3" t="s">
        <v>99</v>
      </c>
      <c r="B3" t="s">
        <v>100</v>
      </c>
      <c r="C3" t="s">
        <v>98</v>
      </c>
      <c r="D3" t="s">
        <v>98</v>
      </c>
      <c r="E3" t="s">
        <v>98</v>
      </c>
      <c r="G3" s="44" t="s">
        <v>102</v>
      </c>
    </row>
    <row r="4" spans="1:7" x14ac:dyDescent="0.3">
      <c r="A4" t="s">
        <v>101</v>
      </c>
      <c r="B4" t="s">
        <v>100</v>
      </c>
      <c r="C4" t="s">
        <v>98</v>
      </c>
      <c r="D4" t="s">
        <v>98</v>
      </c>
      <c r="E4" t="s">
        <v>98</v>
      </c>
      <c r="G4" s="44" t="s">
        <v>131</v>
      </c>
    </row>
    <row r="5" spans="1:7" x14ac:dyDescent="0.3">
      <c r="A5" t="s">
        <v>102</v>
      </c>
      <c r="B5" t="s">
        <v>103</v>
      </c>
      <c r="C5" t="s">
        <v>98</v>
      </c>
      <c r="D5" t="s">
        <v>98</v>
      </c>
      <c r="E5" t="s">
        <v>98</v>
      </c>
      <c r="G5" s="44" t="s">
        <v>122</v>
      </c>
    </row>
    <row r="6" spans="1:7" x14ac:dyDescent="0.3">
      <c r="A6" t="s">
        <v>104</v>
      </c>
      <c r="B6" t="s">
        <v>103</v>
      </c>
      <c r="C6" t="s">
        <v>98</v>
      </c>
      <c r="D6" t="s">
        <v>98</v>
      </c>
      <c r="E6" t="s">
        <v>98</v>
      </c>
      <c r="G6" s="44" t="s">
        <v>133</v>
      </c>
    </row>
    <row r="7" spans="1:7" x14ac:dyDescent="0.3">
      <c r="A7" s="37" t="s">
        <v>32</v>
      </c>
      <c r="B7" s="37" t="s">
        <v>98</v>
      </c>
      <c r="C7" s="37" t="s">
        <v>105</v>
      </c>
      <c r="D7" t="s">
        <v>98</v>
      </c>
      <c r="E7" t="s">
        <v>98</v>
      </c>
      <c r="G7" s="44" t="s">
        <v>127</v>
      </c>
    </row>
    <row r="8" spans="1:7" x14ac:dyDescent="0.3">
      <c r="A8" t="s">
        <v>106</v>
      </c>
      <c r="B8" t="s">
        <v>98</v>
      </c>
      <c r="C8" t="s">
        <v>107</v>
      </c>
      <c r="D8" t="s">
        <v>98</v>
      </c>
      <c r="E8" t="s">
        <v>98</v>
      </c>
      <c r="G8" s="44" t="s">
        <v>108</v>
      </c>
    </row>
    <row r="9" spans="1:7" x14ac:dyDescent="0.3">
      <c r="A9" t="s">
        <v>108</v>
      </c>
      <c r="B9" t="s">
        <v>98</v>
      </c>
      <c r="C9" t="s">
        <v>107</v>
      </c>
      <c r="D9" t="s">
        <v>98</v>
      </c>
      <c r="E9" t="s">
        <v>98</v>
      </c>
      <c r="G9" s="44" t="s">
        <v>106</v>
      </c>
    </row>
    <row r="10" spans="1:7" x14ac:dyDescent="0.3">
      <c r="A10" t="s">
        <v>109</v>
      </c>
      <c r="B10" t="s">
        <v>98</v>
      </c>
      <c r="C10" t="s">
        <v>110</v>
      </c>
      <c r="D10" t="s">
        <v>98</v>
      </c>
      <c r="E10" t="s">
        <v>98</v>
      </c>
      <c r="G10" s="44" t="s">
        <v>129</v>
      </c>
    </row>
    <row r="11" spans="1:7" x14ac:dyDescent="0.3">
      <c r="A11" t="s">
        <v>111</v>
      </c>
      <c r="B11" t="s">
        <v>98</v>
      </c>
      <c r="C11" t="s">
        <v>110</v>
      </c>
      <c r="D11" t="s">
        <v>98</v>
      </c>
      <c r="E11" t="s">
        <v>98</v>
      </c>
      <c r="G11" s="44" t="s">
        <v>99</v>
      </c>
    </row>
    <row r="12" spans="1:7" x14ac:dyDescent="0.3">
      <c r="A12" s="37" t="s">
        <v>33</v>
      </c>
      <c r="B12" s="37" t="s">
        <v>98</v>
      </c>
      <c r="C12" s="37" t="s">
        <v>98</v>
      </c>
      <c r="D12" s="37" t="s">
        <v>112</v>
      </c>
      <c r="E12" t="s">
        <v>98</v>
      </c>
      <c r="G12" s="44" t="s">
        <v>135</v>
      </c>
    </row>
    <row r="13" spans="1:7" x14ac:dyDescent="0.3">
      <c r="A13" t="s">
        <v>113</v>
      </c>
      <c r="B13" t="s">
        <v>98</v>
      </c>
      <c r="C13" t="s">
        <v>98</v>
      </c>
      <c r="D13" t="s">
        <v>114</v>
      </c>
      <c r="E13" t="s">
        <v>98</v>
      </c>
      <c r="G13" s="44" t="s">
        <v>115</v>
      </c>
    </row>
    <row r="14" spans="1:7" x14ac:dyDescent="0.3">
      <c r="A14" t="s">
        <v>115</v>
      </c>
      <c r="B14" t="s">
        <v>98</v>
      </c>
      <c r="C14" t="s">
        <v>98</v>
      </c>
      <c r="D14" t="s">
        <v>114</v>
      </c>
      <c r="E14" t="s">
        <v>98</v>
      </c>
      <c r="G14" s="44" t="s">
        <v>125</v>
      </c>
    </row>
    <row r="15" spans="1:7" x14ac:dyDescent="0.3">
      <c r="A15" t="s">
        <v>116</v>
      </c>
      <c r="B15" t="s">
        <v>98</v>
      </c>
      <c r="C15" t="s">
        <v>98</v>
      </c>
      <c r="D15" t="s">
        <v>117</v>
      </c>
      <c r="E15" t="s">
        <v>98</v>
      </c>
      <c r="G15" s="44" t="s">
        <v>138</v>
      </c>
    </row>
    <row r="16" spans="1:7" x14ac:dyDescent="0.3">
      <c r="A16" t="s">
        <v>118</v>
      </c>
      <c r="B16" t="s">
        <v>98</v>
      </c>
      <c r="C16" t="s">
        <v>98</v>
      </c>
      <c r="D16" t="s">
        <v>117</v>
      </c>
      <c r="E16" t="s">
        <v>98</v>
      </c>
      <c r="G16" s="44" t="s">
        <v>123</v>
      </c>
    </row>
    <row r="17" spans="1:7" x14ac:dyDescent="0.3">
      <c r="A17" s="37" t="s">
        <v>34</v>
      </c>
      <c r="B17" s="37" t="s">
        <v>98</v>
      </c>
      <c r="C17" s="37" t="s">
        <v>98</v>
      </c>
      <c r="D17" s="37" t="s">
        <v>98</v>
      </c>
      <c r="E17" s="37" t="s">
        <v>119</v>
      </c>
      <c r="G17" s="44" t="s">
        <v>104</v>
      </c>
    </row>
    <row r="18" spans="1:7" x14ac:dyDescent="0.3">
      <c r="A18" t="s">
        <v>120</v>
      </c>
      <c r="B18" t="s">
        <v>98</v>
      </c>
      <c r="C18" t="s">
        <v>98</v>
      </c>
      <c r="D18" t="s">
        <v>98</v>
      </c>
      <c r="E18" t="s">
        <v>121</v>
      </c>
      <c r="G18" s="44" t="s">
        <v>132</v>
      </c>
    </row>
    <row r="19" spans="1:7" x14ac:dyDescent="0.3">
      <c r="A19" t="s">
        <v>122</v>
      </c>
      <c r="B19" t="s">
        <v>98</v>
      </c>
      <c r="C19" t="s">
        <v>98</v>
      </c>
      <c r="D19" t="s">
        <v>98</v>
      </c>
      <c r="E19" t="s">
        <v>121</v>
      </c>
      <c r="G19" s="44" t="s">
        <v>128</v>
      </c>
    </row>
    <row r="20" spans="1:7" x14ac:dyDescent="0.3">
      <c r="A20" t="s">
        <v>123</v>
      </c>
      <c r="B20" t="s">
        <v>98</v>
      </c>
      <c r="C20" t="s">
        <v>98</v>
      </c>
      <c r="D20" t="s">
        <v>98</v>
      </c>
      <c r="E20" t="s">
        <v>124</v>
      </c>
      <c r="G20" s="44" t="s">
        <v>134</v>
      </c>
    </row>
    <row r="21" spans="1:7" x14ac:dyDescent="0.3">
      <c r="A21" t="s">
        <v>125</v>
      </c>
      <c r="B21" t="s">
        <v>98</v>
      </c>
      <c r="C21" t="s">
        <v>98</v>
      </c>
      <c r="D21" t="s">
        <v>98</v>
      </c>
      <c r="E21" t="s">
        <v>124</v>
      </c>
      <c r="G21" s="44" t="s">
        <v>113</v>
      </c>
    </row>
    <row r="22" spans="1:7" x14ac:dyDescent="0.3">
      <c r="A22" s="37" t="s">
        <v>35</v>
      </c>
      <c r="B22" s="37" t="s">
        <v>126</v>
      </c>
      <c r="C22" s="37" t="s">
        <v>126</v>
      </c>
      <c r="D22" s="37" t="s">
        <v>126</v>
      </c>
      <c r="E22" s="37" t="s">
        <v>126</v>
      </c>
      <c r="G22" s="44" t="s">
        <v>136</v>
      </c>
    </row>
    <row r="23" spans="1:7" x14ac:dyDescent="0.3">
      <c r="A23" t="s">
        <v>127</v>
      </c>
      <c r="B23" s="63" t="s">
        <v>126</v>
      </c>
      <c r="C23" s="63"/>
      <c r="D23" s="63"/>
      <c r="E23" s="63"/>
      <c r="G23" s="44" t="s">
        <v>101</v>
      </c>
    </row>
    <row r="24" spans="1:7" x14ac:dyDescent="0.3">
      <c r="A24" t="s">
        <v>128</v>
      </c>
      <c r="B24" s="63" t="s">
        <v>126</v>
      </c>
      <c r="C24" s="63"/>
      <c r="D24" s="63"/>
      <c r="E24" s="63"/>
      <c r="G24" s="44" t="s">
        <v>111</v>
      </c>
    </row>
    <row r="25" spans="1:7" x14ac:dyDescent="0.3">
      <c r="A25" t="s">
        <v>129</v>
      </c>
      <c r="B25" s="63" t="s">
        <v>126</v>
      </c>
      <c r="C25" s="63"/>
      <c r="D25" s="63"/>
      <c r="E25" s="63"/>
      <c r="G25" s="44" t="s">
        <v>137</v>
      </c>
    </row>
    <row r="26" spans="1:7" x14ac:dyDescent="0.3">
      <c r="A26" t="s">
        <v>130</v>
      </c>
      <c r="B26" s="63" t="s">
        <v>126</v>
      </c>
      <c r="C26" s="63"/>
      <c r="D26" s="63"/>
      <c r="E26" s="63"/>
      <c r="G26" s="44" t="s">
        <v>118</v>
      </c>
    </row>
    <row r="27" spans="1:7" x14ac:dyDescent="0.3">
      <c r="A27" s="37" t="s">
        <v>36</v>
      </c>
      <c r="B27" s="37" t="s">
        <v>126</v>
      </c>
      <c r="C27" s="37" t="s">
        <v>126</v>
      </c>
      <c r="D27" s="37" t="s">
        <v>126</v>
      </c>
      <c r="E27" s="37" t="s">
        <v>126</v>
      </c>
      <c r="G27" s="44" t="s">
        <v>109</v>
      </c>
    </row>
    <row r="28" spans="1:7" x14ac:dyDescent="0.3">
      <c r="A28" t="s">
        <v>131</v>
      </c>
      <c r="B28" s="63" t="s">
        <v>126</v>
      </c>
      <c r="C28" s="63"/>
      <c r="D28" s="63"/>
      <c r="E28" s="63"/>
      <c r="G28" s="44" t="s">
        <v>130</v>
      </c>
    </row>
    <row r="29" spans="1:7" x14ac:dyDescent="0.3">
      <c r="A29" t="s">
        <v>132</v>
      </c>
      <c r="B29" s="63" t="s">
        <v>126</v>
      </c>
      <c r="C29" s="63"/>
      <c r="D29" s="63"/>
      <c r="E29" s="63"/>
      <c r="G29" s="44" t="s">
        <v>116</v>
      </c>
    </row>
    <row r="30" spans="1:7" x14ac:dyDescent="0.3">
      <c r="A30" t="s">
        <v>133</v>
      </c>
      <c r="B30" s="63" t="s">
        <v>126</v>
      </c>
      <c r="C30" s="63"/>
      <c r="D30" s="63"/>
      <c r="E30" s="63"/>
      <c r="G30" s="44" t="s">
        <v>120</v>
      </c>
    </row>
    <row r="31" spans="1:7" x14ac:dyDescent="0.3">
      <c r="A31" t="s">
        <v>134</v>
      </c>
      <c r="B31" s="63" t="s">
        <v>126</v>
      </c>
      <c r="C31" s="63"/>
      <c r="D31" s="63"/>
      <c r="E31" s="63"/>
      <c r="G31" s="44" t="s">
        <v>31</v>
      </c>
    </row>
    <row r="32" spans="1:7" x14ac:dyDescent="0.3">
      <c r="A32" s="37" t="s">
        <v>37</v>
      </c>
      <c r="B32" s="37" t="s">
        <v>126</v>
      </c>
      <c r="C32" s="37" t="s">
        <v>126</v>
      </c>
      <c r="D32" s="37" t="s">
        <v>126</v>
      </c>
      <c r="E32" s="37" t="s">
        <v>126</v>
      </c>
      <c r="G32" s="44" t="s">
        <v>36</v>
      </c>
    </row>
    <row r="33" spans="1:7" x14ac:dyDescent="0.3">
      <c r="A33" t="s">
        <v>135</v>
      </c>
      <c r="B33" s="63" t="s">
        <v>126</v>
      </c>
      <c r="C33" s="63"/>
      <c r="D33" s="63"/>
      <c r="E33" s="63"/>
      <c r="G33" s="44" t="s">
        <v>32</v>
      </c>
    </row>
    <row r="34" spans="1:7" x14ac:dyDescent="0.3">
      <c r="A34" t="s">
        <v>136</v>
      </c>
      <c r="B34" s="63" t="s">
        <v>126</v>
      </c>
      <c r="C34" s="63"/>
      <c r="D34" s="63"/>
      <c r="E34" s="63"/>
      <c r="G34" s="44" t="s">
        <v>33</v>
      </c>
    </row>
    <row r="35" spans="1:7" x14ac:dyDescent="0.3">
      <c r="A35" t="s">
        <v>137</v>
      </c>
      <c r="B35" s="63" t="s">
        <v>126</v>
      </c>
      <c r="C35" s="63"/>
      <c r="D35" s="63"/>
      <c r="E35" s="63"/>
      <c r="G35" s="44" t="s">
        <v>35</v>
      </c>
    </row>
    <row r="36" spans="1:7" x14ac:dyDescent="0.3">
      <c r="A36" t="s">
        <v>138</v>
      </c>
      <c r="B36" s="63" t="s">
        <v>126</v>
      </c>
      <c r="C36" s="63"/>
      <c r="D36" s="63"/>
      <c r="E36" s="63"/>
      <c r="G36" s="44" t="s">
        <v>37</v>
      </c>
    </row>
    <row r="37" spans="1:7" x14ac:dyDescent="0.3">
      <c r="G37" s="44" t="s">
        <v>34</v>
      </c>
    </row>
    <row r="38" spans="1:7" hidden="1" x14ac:dyDescent="0.3">
      <c r="G38" s="44" t="s">
        <v>141</v>
      </c>
    </row>
    <row r="39" spans="1:7" hidden="1" x14ac:dyDescent="0.3">
      <c r="A39" s="43" t="s">
        <v>140</v>
      </c>
      <c r="B39" t="s">
        <v>143</v>
      </c>
      <c r="C39" t="s">
        <v>144</v>
      </c>
      <c r="D39" t="s">
        <v>145</v>
      </c>
      <c r="E39" t="s">
        <v>146</v>
      </c>
    </row>
    <row r="40" spans="1:7" hidden="1" x14ac:dyDescent="0.3">
      <c r="A40" s="44" t="s">
        <v>102</v>
      </c>
      <c r="B40">
        <v>1</v>
      </c>
      <c r="C40">
        <v>1</v>
      </c>
      <c r="D40">
        <v>1</v>
      </c>
      <c r="E40">
        <v>1</v>
      </c>
    </row>
    <row r="41" spans="1:7" ht="13.8" hidden="1" customHeight="1" x14ac:dyDescent="0.3">
      <c r="A41" s="44" t="s">
        <v>131</v>
      </c>
      <c r="B41">
        <v>1</v>
      </c>
      <c r="C41">
        <v>1</v>
      </c>
      <c r="D41">
        <v>1</v>
      </c>
      <c r="E41">
        <v>1</v>
      </c>
    </row>
    <row r="42" spans="1:7" hidden="1" x14ac:dyDescent="0.3">
      <c r="A42" s="44" t="s">
        <v>122</v>
      </c>
      <c r="B42">
        <v>1</v>
      </c>
      <c r="C42">
        <v>1</v>
      </c>
      <c r="D42">
        <v>1</v>
      </c>
      <c r="E42">
        <v>1</v>
      </c>
    </row>
    <row r="43" spans="1:7" hidden="1" x14ac:dyDescent="0.3">
      <c r="A43" s="44" t="s">
        <v>133</v>
      </c>
      <c r="B43">
        <v>1</v>
      </c>
      <c r="C43">
        <v>1</v>
      </c>
      <c r="D43">
        <v>1</v>
      </c>
      <c r="E43">
        <v>1</v>
      </c>
    </row>
    <row r="44" spans="1:7" hidden="1" x14ac:dyDescent="0.3">
      <c r="A44" s="44" t="s">
        <v>127</v>
      </c>
      <c r="B44">
        <v>1</v>
      </c>
      <c r="C44">
        <v>1</v>
      </c>
      <c r="D44">
        <v>1</v>
      </c>
      <c r="E44">
        <v>1</v>
      </c>
    </row>
    <row r="45" spans="1:7" hidden="1" x14ac:dyDescent="0.3">
      <c r="A45" s="44" t="s">
        <v>108</v>
      </c>
      <c r="B45">
        <v>1</v>
      </c>
      <c r="C45">
        <v>1</v>
      </c>
      <c r="D45">
        <v>1</v>
      </c>
      <c r="E45">
        <v>1</v>
      </c>
    </row>
    <row r="46" spans="1:7" hidden="1" x14ac:dyDescent="0.3">
      <c r="A46" s="44" t="s">
        <v>106</v>
      </c>
      <c r="B46">
        <v>1</v>
      </c>
      <c r="C46">
        <v>1</v>
      </c>
      <c r="D46">
        <v>1</v>
      </c>
      <c r="E46">
        <v>1</v>
      </c>
    </row>
    <row r="47" spans="1:7" hidden="1" x14ac:dyDescent="0.3">
      <c r="A47" s="44" t="s">
        <v>129</v>
      </c>
      <c r="B47">
        <v>1</v>
      </c>
      <c r="C47">
        <v>1</v>
      </c>
      <c r="D47">
        <v>1</v>
      </c>
      <c r="E47">
        <v>1</v>
      </c>
    </row>
    <row r="48" spans="1:7" hidden="1" x14ac:dyDescent="0.3">
      <c r="A48" s="44" t="s">
        <v>99</v>
      </c>
      <c r="B48">
        <v>1</v>
      </c>
      <c r="C48">
        <v>1</v>
      </c>
      <c r="D48">
        <v>1</v>
      </c>
      <c r="E48">
        <v>1</v>
      </c>
    </row>
    <row r="49" spans="1:5" hidden="1" x14ac:dyDescent="0.3">
      <c r="A49" s="44" t="s">
        <v>135</v>
      </c>
      <c r="B49">
        <v>1</v>
      </c>
      <c r="C49">
        <v>1</v>
      </c>
      <c r="D49">
        <v>1</v>
      </c>
      <c r="E49">
        <v>1</v>
      </c>
    </row>
    <row r="50" spans="1:5" hidden="1" x14ac:dyDescent="0.3">
      <c r="A50" s="44" t="s">
        <v>115</v>
      </c>
      <c r="B50">
        <v>1</v>
      </c>
      <c r="C50">
        <v>1</v>
      </c>
      <c r="D50">
        <v>1</v>
      </c>
      <c r="E50">
        <v>1</v>
      </c>
    </row>
    <row r="51" spans="1:5" hidden="1" x14ac:dyDescent="0.3">
      <c r="A51" s="44" t="s">
        <v>125</v>
      </c>
      <c r="B51">
        <v>1</v>
      </c>
      <c r="C51">
        <v>1</v>
      </c>
      <c r="D51">
        <v>1</v>
      </c>
      <c r="E51">
        <v>1</v>
      </c>
    </row>
    <row r="52" spans="1:5" hidden="1" x14ac:dyDescent="0.3">
      <c r="A52" s="44" t="s">
        <v>138</v>
      </c>
      <c r="B52">
        <v>1</v>
      </c>
      <c r="C52">
        <v>1</v>
      </c>
      <c r="D52">
        <v>1</v>
      </c>
      <c r="E52">
        <v>1</v>
      </c>
    </row>
    <row r="53" spans="1:5" hidden="1" x14ac:dyDescent="0.3">
      <c r="A53" s="44" t="s">
        <v>123</v>
      </c>
      <c r="B53">
        <v>1</v>
      </c>
      <c r="C53">
        <v>1</v>
      </c>
      <c r="D53">
        <v>1</v>
      </c>
      <c r="E53">
        <v>1</v>
      </c>
    </row>
    <row r="54" spans="1:5" hidden="1" x14ac:dyDescent="0.3">
      <c r="A54" s="44" t="s">
        <v>104</v>
      </c>
      <c r="B54">
        <v>1</v>
      </c>
      <c r="C54">
        <v>1</v>
      </c>
      <c r="D54">
        <v>1</v>
      </c>
      <c r="E54">
        <v>1</v>
      </c>
    </row>
    <row r="55" spans="1:5" hidden="1" x14ac:dyDescent="0.3">
      <c r="A55" s="44" t="s">
        <v>132</v>
      </c>
      <c r="B55">
        <v>1</v>
      </c>
      <c r="C55">
        <v>1</v>
      </c>
      <c r="D55">
        <v>1</v>
      </c>
      <c r="E55">
        <v>1</v>
      </c>
    </row>
    <row r="56" spans="1:5" hidden="1" x14ac:dyDescent="0.3">
      <c r="A56" s="44" t="s">
        <v>128</v>
      </c>
      <c r="B56">
        <v>1</v>
      </c>
      <c r="C56">
        <v>1</v>
      </c>
      <c r="D56">
        <v>1</v>
      </c>
      <c r="E56">
        <v>1</v>
      </c>
    </row>
    <row r="57" spans="1:5" hidden="1" x14ac:dyDescent="0.3">
      <c r="A57" s="44" t="s">
        <v>134</v>
      </c>
      <c r="B57">
        <v>1</v>
      </c>
      <c r="C57">
        <v>1</v>
      </c>
      <c r="D57">
        <v>1</v>
      </c>
      <c r="E57">
        <v>1</v>
      </c>
    </row>
    <row r="58" spans="1:5" hidden="1" x14ac:dyDescent="0.3">
      <c r="A58" s="44" t="s">
        <v>113</v>
      </c>
      <c r="B58">
        <v>1</v>
      </c>
      <c r="C58">
        <v>1</v>
      </c>
      <c r="D58">
        <v>1</v>
      </c>
      <c r="E58">
        <v>1</v>
      </c>
    </row>
    <row r="59" spans="1:5" hidden="1" x14ac:dyDescent="0.3">
      <c r="A59" s="44" t="s">
        <v>136</v>
      </c>
      <c r="B59">
        <v>1</v>
      </c>
      <c r="C59">
        <v>1</v>
      </c>
      <c r="D59">
        <v>1</v>
      </c>
      <c r="E59">
        <v>1</v>
      </c>
    </row>
    <row r="60" spans="1:5" ht="5.4" customHeight="1" x14ac:dyDescent="0.3">
      <c r="A60" s="44" t="s">
        <v>101</v>
      </c>
      <c r="B60">
        <v>1</v>
      </c>
      <c r="C60">
        <v>1</v>
      </c>
      <c r="D60">
        <v>1</v>
      </c>
      <c r="E60">
        <v>1</v>
      </c>
    </row>
    <row r="61" spans="1:5" hidden="1" x14ac:dyDescent="0.3">
      <c r="A61" s="44" t="s">
        <v>111</v>
      </c>
      <c r="B61">
        <v>1</v>
      </c>
      <c r="C61">
        <v>1</v>
      </c>
      <c r="D61">
        <v>1</v>
      </c>
      <c r="E61">
        <v>1</v>
      </c>
    </row>
    <row r="62" spans="1:5" hidden="1" x14ac:dyDescent="0.3">
      <c r="A62" s="44" t="s">
        <v>137</v>
      </c>
      <c r="B62">
        <v>1</v>
      </c>
      <c r="C62">
        <v>1</v>
      </c>
      <c r="D62">
        <v>1</v>
      </c>
      <c r="E62">
        <v>1</v>
      </c>
    </row>
    <row r="63" spans="1:5" hidden="1" x14ac:dyDescent="0.3">
      <c r="A63" s="44" t="s">
        <v>118</v>
      </c>
      <c r="B63">
        <v>1</v>
      </c>
      <c r="C63">
        <v>1</v>
      </c>
      <c r="D63">
        <v>1</v>
      </c>
      <c r="E63">
        <v>1</v>
      </c>
    </row>
    <row r="64" spans="1:5" hidden="1" x14ac:dyDescent="0.3">
      <c r="A64" s="44" t="s">
        <v>109</v>
      </c>
      <c r="B64">
        <v>1</v>
      </c>
      <c r="C64">
        <v>1</v>
      </c>
      <c r="D64">
        <v>1</v>
      </c>
      <c r="E64">
        <v>1</v>
      </c>
    </row>
    <row r="65" spans="1:5" hidden="1" x14ac:dyDescent="0.3">
      <c r="A65" s="44" t="s">
        <v>130</v>
      </c>
      <c r="B65">
        <v>1</v>
      </c>
      <c r="C65">
        <v>1</v>
      </c>
      <c r="D65">
        <v>1</v>
      </c>
      <c r="E65">
        <v>1</v>
      </c>
    </row>
    <row r="66" spans="1:5" hidden="1" x14ac:dyDescent="0.3">
      <c r="A66" s="44" t="s">
        <v>116</v>
      </c>
      <c r="B66">
        <v>1</v>
      </c>
      <c r="C66">
        <v>1</v>
      </c>
      <c r="D66">
        <v>1</v>
      </c>
      <c r="E66">
        <v>1</v>
      </c>
    </row>
    <row r="67" spans="1:5" hidden="1" x14ac:dyDescent="0.3">
      <c r="A67" s="44" t="s">
        <v>120</v>
      </c>
      <c r="B67">
        <v>1</v>
      </c>
      <c r="C67">
        <v>1</v>
      </c>
      <c r="D67">
        <v>1</v>
      </c>
      <c r="E67">
        <v>1</v>
      </c>
    </row>
    <row r="68" spans="1:5" hidden="1" x14ac:dyDescent="0.3">
      <c r="A68" s="44" t="s">
        <v>31</v>
      </c>
      <c r="B68">
        <v>1</v>
      </c>
      <c r="C68">
        <v>1</v>
      </c>
      <c r="D68">
        <v>1</v>
      </c>
      <c r="E68">
        <v>1</v>
      </c>
    </row>
    <row r="69" spans="1:5" hidden="1" x14ac:dyDescent="0.3">
      <c r="A69" s="44" t="s">
        <v>36</v>
      </c>
      <c r="B69">
        <v>1</v>
      </c>
      <c r="C69">
        <v>1</v>
      </c>
      <c r="D69">
        <v>1</v>
      </c>
      <c r="E69">
        <v>1</v>
      </c>
    </row>
    <row r="70" spans="1:5" hidden="1" x14ac:dyDescent="0.3">
      <c r="A70" s="44" t="s">
        <v>32</v>
      </c>
      <c r="B70">
        <v>1</v>
      </c>
      <c r="C70">
        <v>1</v>
      </c>
      <c r="D70">
        <v>1</v>
      </c>
      <c r="E70">
        <v>1</v>
      </c>
    </row>
    <row r="71" spans="1:5" hidden="1" x14ac:dyDescent="0.3">
      <c r="A71" s="44" t="s">
        <v>33</v>
      </c>
      <c r="B71">
        <v>1</v>
      </c>
      <c r="C71">
        <v>1</v>
      </c>
      <c r="D71">
        <v>1</v>
      </c>
      <c r="E71">
        <v>1</v>
      </c>
    </row>
    <row r="72" spans="1:5" hidden="1" x14ac:dyDescent="0.3">
      <c r="A72" s="44" t="s">
        <v>35</v>
      </c>
      <c r="B72">
        <v>1</v>
      </c>
      <c r="C72">
        <v>1</v>
      </c>
      <c r="D72">
        <v>1</v>
      </c>
      <c r="E72">
        <v>1</v>
      </c>
    </row>
    <row r="73" spans="1:5" hidden="1" x14ac:dyDescent="0.3">
      <c r="A73" s="44" t="s">
        <v>37</v>
      </c>
      <c r="B73">
        <v>1</v>
      </c>
      <c r="C73">
        <v>1</v>
      </c>
      <c r="D73">
        <v>1</v>
      </c>
      <c r="E73">
        <v>1</v>
      </c>
    </row>
    <row r="74" spans="1:5" hidden="1" x14ac:dyDescent="0.3">
      <c r="A74" s="44" t="s">
        <v>34</v>
      </c>
      <c r="B74">
        <v>1</v>
      </c>
      <c r="C74">
        <v>1</v>
      </c>
      <c r="D74">
        <v>1</v>
      </c>
      <c r="E74">
        <v>1</v>
      </c>
    </row>
    <row r="75" spans="1:5" hidden="1" x14ac:dyDescent="0.3">
      <c r="A75" s="44" t="s">
        <v>141</v>
      </c>
      <c r="B75">
        <v>35</v>
      </c>
      <c r="C75">
        <v>35</v>
      </c>
      <c r="D75">
        <v>35</v>
      </c>
      <c r="E75">
        <v>35</v>
      </c>
    </row>
  </sheetData>
  <mergeCells count="12">
    <mergeCell ref="B36:E36"/>
    <mergeCell ref="B23:E23"/>
    <mergeCell ref="B24:E24"/>
    <mergeCell ref="B25:E25"/>
    <mergeCell ref="B26:E26"/>
    <mergeCell ref="B28:E28"/>
    <mergeCell ref="B29:E29"/>
    <mergeCell ref="B30:E30"/>
    <mergeCell ref="B31:E31"/>
    <mergeCell ref="B33:E33"/>
    <mergeCell ref="B34:E34"/>
    <mergeCell ref="B35:E35"/>
  </mergeCells>
  <pageMargins left="0.7" right="0.7" top="0.75" bottom="0.75" header="0.3" footer="0.3"/>
  <ignoredErrors>
    <ignoredError sqref="B2:B6 C7:E21" twoDigitTextYear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D'ACTION DANGALMA</vt:lpstr>
      <vt:lpstr>GANNT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Omar KASSE</cp:lastModifiedBy>
  <dcterms:created xsi:type="dcterms:W3CDTF">2017-02-09T13:06:34Z</dcterms:created>
  <dcterms:modified xsi:type="dcterms:W3CDTF">2024-10-03T17:14:44Z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cbd6a694-9ac7-49df-a2d6-080348f90a07</vt:lpwstr>
  </property>
</Properties>
</file>