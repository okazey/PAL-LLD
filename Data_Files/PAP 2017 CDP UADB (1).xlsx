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LIVINGLAB\"/>
    </mc:Choice>
  </mc:AlternateContent>
  <xr:revisionPtr revIDLastSave="0" documentId="8_{D0210908-CDC9-4E33-AC00-C1A8C9738B3D}" xr6:coauthVersionLast="47" xr6:coauthVersionMax="47" xr10:uidLastSave="{00000000-0000-0000-0000-000000000000}"/>
  <bookViews>
    <workbookView xWindow="28680" yWindow="-120" windowWidth="20640" windowHeight="11040" xr2:uid="{00000000-000D-0000-FFFF-FFFF00000000}"/>
  </bookViews>
  <sheets>
    <sheet name="PLAN D'ACTION 2017"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8" i="1" l="1"/>
  <c r="M262" i="1"/>
  <c r="P262" i="1"/>
  <c r="M15" i="1"/>
  <c r="M177" i="1"/>
  <c r="M13" i="1"/>
  <c r="P13" i="1"/>
  <c r="M9" i="1"/>
  <c r="M10" i="1"/>
  <c r="M11" i="1"/>
  <c r="M12" i="1"/>
  <c r="L14" i="1"/>
  <c r="M14" i="1"/>
  <c r="K16" i="1"/>
  <c r="M16" i="1"/>
  <c r="M17" i="1"/>
  <c r="K18" i="1"/>
  <c r="M18" i="1"/>
  <c r="K19" i="1"/>
  <c r="L19" i="1"/>
  <c r="M19" i="1"/>
  <c r="K20" i="1"/>
  <c r="M20" i="1"/>
  <c r="K21" i="1"/>
  <c r="M21" i="1"/>
  <c r="K23" i="1"/>
  <c r="M23" i="1"/>
  <c r="K24" i="1"/>
  <c r="M24" i="1"/>
  <c r="K25" i="1"/>
  <c r="M25" i="1"/>
  <c r="M26" i="1"/>
  <c r="M27" i="1"/>
  <c r="M28" i="1"/>
  <c r="M29" i="1"/>
  <c r="M30" i="1"/>
  <c r="M31" i="1"/>
  <c r="M33" i="1"/>
  <c r="M34" i="1"/>
  <c r="M35" i="1"/>
  <c r="M36" i="1"/>
  <c r="M37" i="1"/>
  <c r="M38" i="1"/>
  <c r="M39" i="1"/>
  <c r="M40" i="1"/>
  <c r="M41" i="1"/>
  <c r="K42" i="1"/>
  <c r="M42" i="1"/>
  <c r="M43" i="1"/>
  <c r="K45" i="1"/>
  <c r="L45" i="1"/>
  <c r="M45" i="1"/>
  <c r="M46" i="1"/>
  <c r="M47" i="1"/>
  <c r="M48" i="1"/>
  <c r="M49" i="1"/>
  <c r="M50" i="1"/>
  <c r="K51" i="1"/>
  <c r="M51" i="1"/>
  <c r="K52" i="1"/>
  <c r="M52" i="1"/>
  <c r="M53" i="1"/>
  <c r="M54" i="1"/>
  <c r="M55" i="1"/>
  <c r="M56" i="1"/>
  <c r="M57" i="1"/>
  <c r="M58" i="1"/>
  <c r="M59" i="1"/>
  <c r="K60" i="1"/>
  <c r="M60" i="1"/>
  <c r="M61" i="1"/>
  <c r="M62" i="1"/>
  <c r="K63" i="1"/>
  <c r="M63" i="1"/>
  <c r="K64" i="1"/>
  <c r="M64" i="1"/>
  <c r="K65" i="1"/>
  <c r="M65" i="1"/>
  <c r="K66" i="1"/>
  <c r="M66" i="1"/>
  <c r="K67" i="1"/>
  <c r="M67" i="1"/>
  <c r="K68" i="1"/>
  <c r="M68" i="1"/>
  <c r="M69" i="1"/>
  <c r="M70" i="1"/>
  <c r="M71" i="1"/>
  <c r="M72" i="1"/>
  <c r="K73" i="1"/>
  <c r="M73" i="1"/>
  <c r="M74" i="1"/>
  <c r="M76" i="1"/>
  <c r="M77" i="1"/>
  <c r="M78" i="1"/>
  <c r="L79" i="1"/>
  <c r="M79" i="1"/>
  <c r="M80" i="1"/>
  <c r="M81" i="1"/>
  <c r="M82" i="1"/>
  <c r="K83" i="1"/>
  <c r="M83" i="1"/>
  <c r="K84" i="1"/>
  <c r="M84" i="1"/>
  <c r="M85" i="1"/>
  <c r="K86" i="1"/>
  <c r="M86" i="1"/>
  <c r="M87" i="1"/>
  <c r="M88" i="1"/>
  <c r="M89" i="1"/>
  <c r="M90" i="1"/>
  <c r="M91" i="1"/>
  <c r="M92" i="1"/>
  <c r="J96" i="1"/>
  <c r="K96" i="1"/>
  <c r="M96" i="1"/>
  <c r="K97" i="1"/>
  <c r="L97" i="1"/>
  <c r="M97" i="1"/>
  <c r="K98" i="1"/>
  <c r="M98" i="1"/>
  <c r="K99" i="1"/>
  <c r="M99" i="1"/>
  <c r="K100" i="1"/>
  <c r="M100" i="1"/>
  <c r="K101" i="1"/>
  <c r="M101" i="1"/>
  <c r="K102" i="1"/>
  <c r="M102" i="1"/>
  <c r="K103" i="1"/>
  <c r="M103" i="1"/>
  <c r="K104" i="1"/>
  <c r="M104" i="1"/>
  <c r="K105" i="1"/>
  <c r="M105" i="1"/>
  <c r="K106" i="1"/>
  <c r="M106" i="1"/>
  <c r="K107" i="1"/>
  <c r="L107" i="1"/>
  <c r="M107" i="1"/>
  <c r="K108" i="1"/>
  <c r="M108" i="1"/>
  <c r="K109" i="1"/>
  <c r="M109" i="1"/>
  <c r="K110" i="1"/>
  <c r="M110" i="1"/>
  <c r="K111" i="1"/>
  <c r="M111" i="1"/>
  <c r="K112" i="1"/>
  <c r="M112" i="1"/>
  <c r="K113" i="1"/>
  <c r="M113" i="1"/>
  <c r="M114" i="1"/>
  <c r="K117" i="1"/>
  <c r="M117" i="1"/>
  <c r="J118" i="1"/>
  <c r="K118" i="1"/>
  <c r="M118" i="1"/>
  <c r="K119" i="1"/>
  <c r="M119" i="1"/>
  <c r="K120" i="1"/>
  <c r="M120" i="1"/>
  <c r="K121" i="1"/>
  <c r="M121" i="1"/>
  <c r="K122" i="1"/>
  <c r="M122" i="1"/>
  <c r="M123" i="1"/>
  <c r="K124" i="1"/>
  <c r="M124" i="1"/>
  <c r="M125" i="1"/>
  <c r="M126" i="1"/>
  <c r="K127" i="1"/>
  <c r="M127" i="1"/>
  <c r="J128" i="1"/>
  <c r="K128" i="1"/>
  <c r="M128" i="1"/>
  <c r="K129" i="1"/>
  <c r="M129" i="1"/>
  <c r="K130" i="1"/>
  <c r="M130" i="1"/>
  <c r="K131" i="1"/>
  <c r="M131" i="1"/>
  <c r="K132" i="1"/>
  <c r="M132" i="1"/>
  <c r="K133" i="1"/>
  <c r="M133" i="1"/>
  <c r="K134" i="1"/>
  <c r="M134" i="1"/>
  <c r="J135" i="1"/>
  <c r="K135" i="1"/>
  <c r="M135" i="1"/>
  <c r="K136" i="1"/>
  <c r="M136" i="1"/>
  <c r="K137" i="1"/>
  <c r="M137" i="1"/>
  <c r="K138" i="1"/>
  <c r="L138" i="1"/>
  <c r="M138" i="1"/>
  <c r="K139" i="1"/>
  <c r="M139" i="1"/>
  <c r="K140" i="1"/>
  <c r="M140" i="1"/>
  <c r="K141" i="1"/>
  <c r="M141" i="1"/>
  <c r="M142" i="1"/>
  <c r="K143" i="1"/>
  <c r="M143" i="1"/>
  <c r="M147" i="1"/>
  <c r="M148" i="1"/>
  <c r="K151" i="1"/>
  <c r="K152" i="1"/>
  <c r="J153" i="1"/>
  <c r="K153" i="1"/>
  <c r="J154" i="1"/>
  <c r="K154" i="1"/>
  <c r="K155" i="1"/>
  <c r="K156" i="1"/>
  <c r="K157" i="1"/>
  <c r="K158" i="1"/>
  <c r="K159" i="1"/>
  <c r="K160" i="1"/>
  <c r="J161" i="1"/>
  <c r="K161" i="1"/>
  <c r="K162" i="1"/>
  <c r="J163" i="1"/>
  <c r="K163" i="1"/>
  <c r="J164" i="1"/>
  <c r="K164" i="1"/>
  <c r="J165" i="1"/>
  <c r="K165" i="1"/>
  <c r="K166" i="1"/>
  <c r="K167" i="1"/>
  <c r="K168" i="1"/>
  <c r="K171" i="1"/>
  <c r="K172" i="1"/>
  <c r="K173" i="1"/>
  <c r="K174" i="1"/>
  <c r="K175" i="1"/>
  <c r="K176" i="1"/>
  <c r="K179" i="1"/>
  <c r="K180" i="1"/>
  <c r="K181" i="1"/>
  <c r="K182" i="1"/>
  <c r="K183" i="1"/>
  <c r="J188" i="1"/>
  <c r="K188" i="1"/>
  <c r="J189" i="1"/>
  <c r="K189" i="1"/>
  <c r="K190" i="1"/>
  <c r="K191" i="1"/>
  <c r="K193" i="1"/>
  <c r="K194" i="1"/>
  <c r="K195" i="1"/>
  <c r="K196" i="1"/>
  <c r="K197" i="1"/>
  <c r="K198" i="1"/>
  <c r="J199" i="1"/>
  <c r="K199" i="1"/>
  <c r="K200" i="1"/>
  <c r="J201" i="1"/>
  <c r="K201" i="1"/>
  <c r="K202" i="1"/>
  <c r="K203" i="1"/>
  <c r="K204" i="1"/>
  <c r="K205" i="1"/>
  <c r="K206" i="1"/>
  <c r="K207" i="1"/>
  <c r="J208" i="1"/>
  <c r="K208" i="1"/>
  <c r="K209" i="1"/>
  <c r="K210" i="1"/>
  <c r="K211" i="1"/>
  <c r="K212" i="1"/>
  <c r="K214" i="1"/>
  <c r="K215" i="1"/>
  <c r="L153" i="1"/>
  <c r="L155" i="1"/>
  <c r="L159" i="1"/>
  <c r="L161" i="1"/>
  <c r="L174" i="1"/>
  <c r="L181" i="1"/>
  <c r="L195" i="1"/>
  <c r="L199" i="1"/>
  <c r="L200" i="1"/>
  <c r="L202" i="1"/>
  <c r="L206" i="1"/>
  <c r="L208" i="1"/>
  <c r="L215" i="1"/>
  <c r="M215" i="1"/>
  <c r="K219" i="1"/>
  <c r="K220" i="1"/>
  <c r="K221" i="1"/>
  <c r="K222" i="1"/>
  <c r="K223" i="1"/>
  <c r="K224" i="1"/>
  <c r="K225" i="1"/>
  <c r="K226" i="1"/>
  <c r="K227" i="1"/>
  <c r="K228" i="1"/>
  <c r="K229" i="1"/>
  <c r="J230" i="1"/>
  <c r="K230" i="1"/>
  <c r="K231" i="1"/>
  <c r="K232" i="1"/>
  <c r="K233" i="1"/>
  <c r="K234" i="1"/>
  <c r="K235" i="1"/>
  <c r="K236" i="1"/>
  <c r="K237" i="1"/>
  <c r="K238" i="1"/>
  <c r="K239" i="1"/>
  <c r="K240" i="1"/>
  <c r="K241" i="1"/>
  <c r="K242" i="1"/>
  <c r="K245" i="1"/>
  <c r="K246" i="1"/>
  <c r="J250" i="1"/>
  <c r="K250" i="1"/>
  <c r="K251" i="1"/>
  <c r="K252" i="1"/>
  <c r="J255" i="1"/>
  <c r="K255" i="1"/>
  <c r="K256" i="1"/>
  <c r="K257" i="1"/>
  <c r="K258" i="1"/>
  <c r="K259" i="1"/>
  <c r="K260" i="1"/>
  <c r="K261" i="1"/>
  <c r="K273" i="1"/>
  <c r="K274" i="1"/>
  <c r="K276" i="1"/>
  <c r="L230" i="1"/>
  <c r="L246" i="1"/>
  <c r="L250" i="1"/>
  <c r="L252" i="1"/>
  <c r="L253" i="1"/>
  <c r="L255" i="1"/>
  <c r="L256" i="1"/>
  <c r="L263" i="1"/>
  <c r="L267" i="1"/>
  <c r="L273" i="1"/>
  <c r="L276" i="1"/>
  <c r="M276" i="1"/>
  <c r="K279" i="1"/>
  <c r="M279" i="1"/>
  <c r="K280" i="1"/>
  <c r="L280" i="1"/>
  <c r="M280" i="1"/>
  <c r="K281" i="1"/>
  <c r="M281" i="1"/>
  <c r="K282" i="1"/>
  <c r="M282" i="1"/>
  <c r="M283" i="1"/>
  <c r="K284" i="1"/>
  <c r="M284" i="1"/>
  <c r="M285" i="1"/>
  <c r="K286" i="1"/>
  <c r="M286" i="1"/>
  <c r="M287" i="1"/>
  <c r="M289" i="1"/>
  <c r="M291" i="1"/>
  <c r="M292" i="1"/>
  <c r="K293" i="1"/>
  <c r="M293" i="1"/>
  <c r="K294" i="1"/>
  <c r="M294" i="1"/>
  <c r="I295" i="1"/>
  <c r="K295" i="1"/>
  <c r="M295" i="1"/>
  <c r="I296" i="1"/>
  <c r="K296" i="1"/>
  <c r="L296" i="1"/>
  <c r="M296" i="1"/>
  <c r="K297" i="1"/>
  <c r="M297" i="1"/>
  <c r="I298" i="1"/>
  <c r="K298" i="1"/>
  <c r="L298" i="1"/>
  <c r="M298" i="1"/>
  <c r="K299" i="1"/>
  <c r="M299" i="1"/>
  <c r="K300" i="1"/>
  <c r="M300" i="1"/>
  <c r="K301" i="1"/>
  <c r="M301" i="1"/>
  <c r="K302" i="1"/>
  <c r="L302" i="1"/>
  <c r="M302" i="1"/>
  <c r="K303" i="1"/>
  <c r="L303" i="1"/>
  <c r="M303" i="1"/>
  <c r="I304" i="1"/>
  <c r="K304" i="1"/>
  <c r="L304" i="1"/>
  <c r="M304" i="1"/>
  <c r="K305" i="1"/>
  <c r="M305" i="1"/>
  <c r="K306" i="1"/>
  <c r="L306" i="1"/>
  <c r="M306" i="1"/>
  <c r="M307" i="1"/>
  <c r="M308" i="1"/>
  <c r="K309" i="1"/>
  <c r="M309" i="1"/>
  <c r="K310" i="1"/>
  <c r="M310" i="1"/>
  <c r="K311" i="1"/>
  <c r="M311" i="1"/>
  <c r="M312" i="1"/>
  <c r="I313" i="1"/>
  <c r="K313" i="1"/>
  <c r="M313" i="1"/>
  <c r="K314" i="1"/>
  <c r="M314" i="1"/>
  <c r="M315" i="1"/>
  <c r="M316" i="1"/>
  <c r="M317" i="1"/>
  <c r="K318" i="1"/>
  <c r="M318" i="1"/>
  <c r="K319" i="1"/>
  <c r="M319" i="1"/>
  <c r="M320" i="1"/>
  <c r="K321" i="1"/>
  <c r="M321" i="1"/>
  <c r="K322" i="1"/>
  <c r="M322" i="1"/>
  <c r="L323" i="1"/>
  <c r="M323" i="1"/>
  <c r="I324" i="1"/>
  <c r="K324" i="1"/>
  <c r="M324" i="1"/>
  <c r="L325" i="1"/>
  <c r="M325" i="1"/>
  <c r="K326" i="1"/>
  <c r="L326" i="1"/>
  <c r="M326" i="1"/>
  <c r="K327" i="1"/>
  <c r="M327" i="1"/>
  <c r="K328" i="1"/>
  <c r="M328" i="1"/>
  <c r="K329" i="1"/>
  <c r="M329" i="1"/>
  <c r="I330" i="1"/>
  <c r="K330" i="1"/>
  <c r="M330" i="1"/>
  <c r="K331" i="1"/>
  <c r="M331" i="1"/>
  <c r="K332" i="1"/>
  <c r="M332" i="1"/>
  <c r="K333" i="1"/>
  <c r="M333" i="1"/>
  <c r="K334" i="1"/>
  <c r="M334" i="1"/>
  <c r="K335" i="1"/>
  <c r="M335" i="1"/>
  <c r="K336" i="1"/>
  <c r="M336" i="1"/>
  <c r="K337" i="1"/>
  <c r="M337" i="1"/>
  <c r="M338" i="1"/>
  <c r="K339" i="1"/>
  <c r="M339" i="1"/>
  <c r="K340" i="1"/>
  <c r="M340" i="1"/>
  <c r="K341" i="1"/>
  <c r="L341" i="1"/>
  <c r="M341" i="1"/>
  <c r="K342" i="1"/>
  <c r="M342" i="1"/>
  <c r="I343" i="1"/>
  <c r="K343" i="1"/>
  <c r="M343" i="1"/>
  <c r="K344" i="1"/>
  <c r="M344" i="1"/>
  <c r="K345" i="1"/>
  <c r="M345" i="1"/>
  <c r="K346" i="1"/>
  <c r="M346" i="1"/>
  <c r="K347" i="1"/>
  <c r="M347" i="1"/>
  <c r="K348" i="1"/>
  <c r="M348" i="1"/>
  <c r="K349" i="1"/>
  <c r="M349" i="1"/>
  <c r="I350" i="1"/>
  <c r="K350" i="1"/>
  <c r="M350" i="1"/>
  <c r="K351" i="1"/>
  <c r="M351" i="1"/>
  <c r="I352" i="1"/>
  <c r="K352" i="1"/>
  <c r="M352" i="1"/>
  <c r="K353" i="1"/>
  <c r="M353" i="1"/>
  <c r="K354" i="1"/>
  <c r="M354" i="1"/>
  <c r="M355" i="1"/>
  <c r="M356" i="1"/>
  <c r="M357" i="1"/>
  <c r="M358" i="1"/>
  <c r="M359" i="1"/>
  <c r="M360" i="1"/>
  <c r="O61" i="1"/>
  <c r="O92" i="1"/>
  <c r="O148" i="1"/>
  <c r="O215" i="1"/>
  <c r="O219" i="1"/>
  <c r="O244" i="1"/>
  <c r="O250" i="1"/>
  <c r="O254" i="1"/>
  <c r="O267" i="1"/>
  <c r="O275" i="1"/>
  <c r="O276" i="1"/>
  <c r="O359" i="1"/>
  <c r="O360" i="1"/>
  <c r="M365" i="1"/>
  <c r="O362" i="1"/>
  <c r="N11" i="1"/>
  <c r="N15" i="1"/>
  <c r="N18" i="1"/>
  <c r="N21" i="1"/>
  <c r="N23" i="1"/>
  <c r="N30" i="1"/>
  <c r="N32" i="1"/>
  <c r="N34" i="1"/>
  <c r="N35" i="1"/>
  <c r="N37" i="1"/>
  <c r="N40" i="1"/>
  <c r="N44" i="1"/>
  <c r="N71" i="1"/>
  <c r="N79" i="1"/>
  <c r="N92" i="1"/>
  <c r="P92" i="1"/>
  <c r="N124" i="1"/>
  <c r="N136" i="1"/>
  <c r="N139" i="1"/>
  <c r="N148" i="1"/>
  <c r="P148" i="1"/>
  <c r="N192" i="1"/>
  <c r="N214" i="1"/>
  <c r="N215" i="1"/>
  <c r="P215" i="1"/>
  <c r="N241" i="1"/>
  <c r="N243" i="1"/>
  <c r="N259" i="1"/>
  <c r="N276" i="1"/>
  <c r="P276" i="1"/>
  <c r="N288" i="1"/>
  <c r="N359" i="1"/>
  <c r="P359" i="1"/>
  <c r="P360" i="1"/>
  <c r="N360" i="1"/>
  <c r="L92" i="1"/>
  <c r="L148" i="1"/>
  <c r="L359" i="1"/>
  <c r="L360" i="1"/>
  <c r="K22" i="1"/>
  <c r="K92" i="1"/>
  <c r="H114" i="1"/>
  <c r="K114" i="1"/>
  <c r="K148" i="1"/>
  <c r="K359" i="1"/>
  <c r="K360" i="1"/>
  <c r="J359" i="1"/>
  <c r="I310" i="1"/>
  <c r="I314" i="1"/>
  <c r="H315" i="1"/>
  <c r="I315" i="1"/>
  <c r="I359" i="1"/>
  <c r="H358" i="1"/>
  <c r="H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J262" i="1"/>
  <c r="J276" i="1"/>
  <c r="I276" i="1"/>
  <c r="H276" i="1"/>
  <c r="M274" i="1"/>
  <c r="P274" i="1"/>
  <c r="M273" i="1"/>
  <c r="P273" i="1"/>
  <c r="M272" i="1"/>
  <c r="P272" i="1"/>
  <c r="M271" i="1"/>
  <c r="P271" i="1"/>
  <c r="M270" i="1"/>
  <c r="P270" i="1"/>
  <c r="M269" i="1"/>
  <c r="P269" i="1"/>
  <c r="M268" i="1"/>
  <c r="P268" i="1"/>
  <c r="M267" i="1"/>
  <c r="P267" i="1"/>
  <c r="M266" i="1"/>
  <c r="P266" i="1"/>
  <c r="M265" i="1"/>
  <c r="P265" i="1"/>
  <c r="M264" i="1"/>
  <c r="P264" i="1"/>
  <c r="M263" i="1"/>
  <c r="P263" i="1"/>
  <c r="M261" i="1"/>
  <c r="P261" i="1"/>
  <c r="M260" i="1"/>
  <c r="P260" i="1"/>
  <c r="M259" i="1"/>
  <c r="P259" i="1"/>
  <c r="M258" i="1"/>
  <c r="P258" i="1"/>
  <c r="M257" i="1"/>
  <c r="P257" i="1"/>
  <c r="M256" i="1"/>
  <c r="P256" i="1"/>
  <c r="M255" i="1"/>
  <c r="P255" i="1"/>
  <c r="M254" i="1"/>
  <c r="M253" i="1"/>
  <c r="P253" i="1"/>
  <c r="M252" i="1"/>
  <c r="P252" i="1"/>
  <c r="M251" i="1"/>
  <c r="P251" i="1"/>
  <c r="M250" i="1"/>
  <c r="P250" i="1"/>
  <c r="P249" i="1"/>
  <c r="P248" i="1"/>
  <c r="P247" i="1"/>
  <c r="M246" i="1"/>
  <c r="P246" i="1"/>
  <c r="M245" i="1"/>
  <c r="M219" i="1"/>
  <c r="P219" i="1"/>
  <c r="M220" i="1"/>
  <c r="P220" i="1"/>
  <c r="M221" i="1"/>
  <c r="P221" i="1"/>
  <c r="M222" i="1"/>
  <c r="P222" i="1"/>
  <c r="M223" i="1"/>
  <c r="P223" i="1"/>
  <c r="M224" i="1"/>
  <c r="P224" i="1"/>
  <c r="M225" i="1"/>
  <c r="P225" i="1"/>
  <c r="M226" i="1"/>
  <c r="P226" i="1"/>
  <c r="M227" i="1"/>
  <c r="P227" i="1"/>
  <c r="M228" i="1"/>
  <c r="P228" i="1"/>
  <c r="M229" i="1"/>
  <c r="P229" i="1"/>
  <c r="M230" i="1"/>
  <c r="P230" i="1"/>
  <c r="M231" i="1"/>
  <c r="P231" i="1"/>
  <c r="M232" i="1"/>
  <c r="P232" i="1"/>
  <c r="M233" i="1"/>
  <c r="P233" i="1"/>
  <c r="M234" i="1"/>
  <c r="P234" i="1"/>
  <c r="M235" i="1"/>
  <c r="P235" i="1"/>
  <c r="M236" i="1"/>
  <c r="P236" i="1"/>
  <c r="M237" i="1"/>
  <c r="P237" i="1"/>
  <c r="M238" i="1"/>
  <c r="P238" i="1"/>
  <c r="M239" i="1"/>
  <c r="P239" i="1"/>
  <c r="M240" i="1"/>
  <c r="P240" i="1"/>
  <c r="M241" i="1"/>
  <c r="P241" i="1"/>
  <c r="M242" i="1"/>
  <c r="P242" i="1"/>
  <c r="P244" i="1"/>
  <c r="M244" i="1"/>
  <c r="J215" i="1"/>
  <c r="I215" i="1"/>
  <c r="H215" i="1"/>
  <c r="M214" i="1"/>
  <c r="P214" i="1"/>
  <c r="M213" i="1"/>
  <c r="P213" i="1"/>
  <c r="M212" i="1"/>
  <c r="P212" i="1"/>
  <c r="M211" i="1"/>
  <c r="P211" i="1"/>
  <c r="M210" i="1"/>
  <c r="P210" i="1"/>
  <c r="M209" i="1"/>
  <c r="P209" i="1"/>
  <c r="M208" i="1"/>
  <c r="P208" i="1"/>
  <c r="M207" i="1"/>
  <c r="P207" i="1"/>
  <c r="M206" i="1"/>
  <c r="P206" i="1"/>
  <c r="M205" i="1"/>
  <c r="P205" i="1"/>
  <c r="M204" i="1"/>
  <c r="P204" i="1"/>
  <c r="M203" i="1"/>
  <c r="P203" i="1"/>
  <c r="M202" i="1"/>
  <c r="P202" i="1"/>
  <c r="M201" i="1"/>
  <c r="P201" i="1"/>
  <c r="M200" i="1"/>
  <c r="P200" i="1"/>
  <c r="M199" i="1"/>
  <c r="P199" i="1"/>
  <c r="M198" i="1"/>
  <c r="P198" i="1"/>
  <c r="M197" i="1"/>
  <c r="P197" i="1"/>
  <c r="M196" i="1"/>
  <c r="P196" i="1"/>
  <c r="M195" i="1"/>
  <c r="P195" i="1"/>
  <c r="M194" i="1"/>
  <c r="P194" i="1"/>
  <c r="M193" i="1"/>
  <c r="P193" i="1"/>
  <c r="M191" i="1"/>
  <c r="P191" i="1"/>
  <c r="M190" i="1"/>
  <c r="P190" i="1"/>
  <c r="M189" i="1"/>
  <c r="P189" i="1"/>
  <c r="M188" i="1"/>
  <c r="P188" i="1"/>
  <c r="P187" i="1"/>
  <c r="P186" i="1"/>
  <c r="P185" i="1"/>
  <c r="P184" i="1"/>
  <c r="M183" i="1"/>
  <c r="P183" i="1"/>
  <c r="M182" i="1"/>
  <c r="P182" i="1"/>
  <c r="M181" i="1"/>
  <c r="P181" i="1"/>
  <c r="M180" i="1"/>
  <c r="P180" i="1"/>
  <c r="M179" i="1"/>
  <c r="P179" i="1"/>
  <c r="M178" i="1"/>
  <c r="P178" i="1"/>
  <c r="P177" i="1"/>
  <c r="M176" i="1"/>
  <c r="P176" i="1"/>
  <c r="M175" i="1"/>
  <c r="P175" i="1"/>
  <c r="M174" i="1"/>
  <c r="P174" i="1"/>
  <c r="M173" i="1"/>
  <c r="P173" i="1"/>
  <c r="M172" i="1"/>
  <c r="P172" i="1"/>
  <c r="M171" i="1"/>
  <c r="P171" i="1"/>
  <c r="M170" i="1"/>
  <c r="P170" i="1"/>
  <c r="M169" i="1"/>
  <c r="P169" i="1"/>
  <c r="M168" i="1"/>
  <c r="P168" i="1"/>
  <c r="M167" i="1"/>
  <c r="P167" i="1"/>
  <c r="M166" i="1"/>
  <c r="P166" i="1"/>
  <c r="M165" i="1"/>
  <c r="P165" i="1"/>
  <c r="M164" i="1"/>
  <c r="P164" i="1"/>
  <c r="M163" i="1"/>
  <c r="P163" i="1"/>
  <c r="M162" i="1"/>
  <c r="P162" i="1"/>
  <c r="M161" i="1"/>
  <c r="P161" i="1"/>
  <c r="M160" i="1"/>
  <c r="P160" i="1"/>
  <c r="M159" i="1"/>
  <c r="P159" i="1"/>
  <c r="M158" i="1"/>
  <c r="P158" i="1"/>
  <c r="M157" i="1"/>
  <c r="P157" i="1"/>
  <c r="M156" i="1"/>
  <c r="P156" i="1"/>
  <c r="M155" i="1"/>
  <c r="P155" i="1"/>
  <c r="M154" i="1"/>
  <c r="P154" i="1"/>
  <c r="M153" i="1"/>
  <c r="P153" i="1"/>
  <c r="M152" i="1"/>
  <c r="P152" i="1"/>
  <c r="M151" i="1"/>
  <c r="P151" i="1"/>
  <c r="J142" i="1"/>
  <c r="J148" i="1"/>
  <c r="I148" i="1"/>
  <c r="H148" i="1"/>
  <c r="P147"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99" i="1"/>
  <c r="P98" i="1"/>
  <c r="P97" i="1"/>
  <c r="P96" i="1"/>
  <c r="H93" i="1"/>
  <c r="I92" i="1"/>
  <c r="H28" i="1"/>
  <c r="H92" i="1"/>
  <c r="P91" i="1"/>
  <c r="P90" i="1"/>
  <c r="P89" i="1"/>
  <c r="J89" i="1"/>
  <c r="P88" i="1"/>
  <c r="P87" i="1"/>
  <c r="J87" i="1"/>
  <c r="P86" i="1"/>
  <c r="J86" i="1"/>
  <c r="P85" i="1"/>
  <c r="P84" i="1"/>
  <c r="P83" i="1"/>
  <c r="P82" i="1"/>
  <c r="P81" i="1"/>
  <c r="J81" i="1"/>
  <c r="P80" i="1"/>
  <c r="P79" i="1"/>
  <c r="J79" i="1"/>
  <c r="P78" i="1"/>
  <c r="J78" i="1"/>
  <c r="P77" i="1"/>
  <c r="J77" i="1"/>
  <c r="P76" i="1"/>
  <c r="J76" i="1"/>
  <c r="P74" i="1"/>
  <c r="P73" i="1"/>
  <c r="P72" i="1"/>
  <c r="P71" i="1"/>
  <c r="J71" i="1"/>
  <c r="P70" i="1"/>
  <c r="P69" i="1"/>
  <c r="P68" i="1"/>
  <c r="P67" i="1"/>
  <c r="P66" i="1"/>
  <c r="P65" i="1"/>
  <c r="P64" i="1"/>
  <c r="P63" i="1"/>
  <c r="P62" i="1"/>
  <c r="J62" i="1"/>
  <c r="P61" i="1"/>
  <c r="P60" i="1"/>
  <c r="P59" i="1"/>
  <c r="P58" i="1"/>
  <c r="P57" i="1"/>
  <c r="P56" i="1"/>
  <c r="P55" i="1"/>
  <c r="P54" i="1"/>
  <c r="J54" i="1"/>
  <c r="P53" i="1"/>
  <c r="P52" i="1"/>
  <c r="P51" i="1"/>
  <c r="P50" i="1"/>
  <c r="P49" i="1"/>
  <c r="J49" i="1"/>
  <c r="P48" i="1"/>
  <c r="P47" i="1"/>
  <c r="P46" i="1"/>
  <c r="P45" i="1"/>
  <c r="P44" i="1"/>
  <c r="P43" i="1"/>
  <c r="P42" i="1"/>
  <c r="P41" i="1"/>
  <c r="J41" i="1"/>
  <c r="P40" i="1"/>
  <c r="J40" i="1"/>
  <c r="P39" i="1"/>
  <c r="J39" i="1"/>
  <c r="P38" i="1"/>
  <c r="J38" i="1"/>
  <c r="P37" i="1"/>
  <c r="J37" i="1"/>
  <c r="P36" i="1"/>
  <c r="J36" i="1"/>
  <c r="P35" i="1"/>
  <c r="P34" i="1"/>
  <c r="P33" i="1"/>
  <c r="J33" i="1"/>
  <c r="P32" i="1"/>
  <c r="P31" i="1"/>
  <c r="P30" i="1"/>
  <c r="J30" i="1"/>
  <c r="P29" i="1"/>
  <c r="J29" i="1"/>
  <c r="P28" i="1"/>
  <c r="P27" i="1"/>
  <c r="P26" i="1"/>
  <c r="P25" i="1"/>
  <c r="P24" i="1"/>
  <c r="P23" i="1"/>
  <c r="P22" i="1"/>
  <c r="P21" i="1"/>
  <c r="P20" i="1"/>
  <c r="P19" i="1"/>
  <c r="P18" i="1"/>
  <c r="P17" i="1"/>
  <c r="P16" i="1"/>
  <c r="P15" i="1"/>
  <c r="P14" i="1"/>
  <c r="J14" i="1"/>
  <c r="J13" i="1"/>
  <c r="P12" i="1"/>
  <c r="J12" i="1"/>
  <c r="P11" i="1"/>
  <c r="P10" i="1"/>
  <c r="J10" i="1"/>
  <c r="P9" i="1"/>
</calcChain>
</file>

<file path=xl/sharedStrings.xml><?xml version="1.0" encoding="utf-8"?>
<sst xmlns="http://schemas.openxmlformats.org/spreadsheetml/2006/main" count="1519" uniqueCount="1151">
  <si>
    <t>UNIVERSITE ALIOUNE DIOP DE BAMBEY (UADB)</t>
  </si>
  <si>
    <t>PROJET GOUVERNANCE ET FINANCEMENT DE L'ENSEIGNEMENT SUPERIEUR AXES SUR LES RESULTATS (PGF-SUP)</t>
  </si>
  <si>
    <t>Numéro du crédit IDA : 4945 – SN</t>
  </si>
  <si>
    <t>PLAN D'ACTION PRIORITAIRE (PAP) 2017  -  CDP/UADB</t>
  </si>
  <si>
    <t>ACTIONS</t>
  </si>
  <si>
    <t>REFERENCE ACTIVITES</t>
  </si>
  <si>
    <t>ACTIVITES</t>
  </si>
  <si>
    <t>ECHEANCIERS</t>
  </si>
  <si>
    <t>RESULTATS ATTENDUS</t>
  </si>
  <si>
    <t>ACTEURS</t>
  </si>
  <si>
    <t>RESPONSABLE</t>
  </si>
  <si>
    <t>RELIQUAT 2015</t>
  </si>
  <si>
    <t>ALLOCATIONS 2016</t>
  </si>
  <si>
    <t>REALLOCATIONS/ REAFFECTATIONS 2016</t>
  </si>
  <si>
    <t>DETAILS COUTS PREVISIONNELS  2016</t>
  </si>
  <si>
    <t>DECAISSE 2016</t>
  </si>
  <si>
    <t>RELIQUAT 2016</t>
  </si>
  <si>
    <t>REALLOCATIONS RELIQUAT 2016</t>
  </si>
  <si>
    <t>ALLOCATIONS 2017</t>
  </si>
  <si>
    <t>COUTS PREVISIONNELS  2017</t>
  </si>
  <si>
    <t>1.1.1  Sessions de mise à niveau pour les L1</t>
  </si>
  <si>
    <t>1.1.1.1</t>
  </si>
  <si>
    <t>organisation de sessions de mise à niveau pour les L1 et de sessions de préparation aux concours</t>
  </si>
  <si>
    <t>Tous les nouveaux bacheliers ont les pré-requis nécessaires pour suivre correctement les enseignements</t>
  </si>
  <si>
    <t>" - Directeurs d'UFR - Points focaux - Enseignants de l'UFR - Etudiants - Service pédagogique</t>
  </si>
  <si>
    <t xml:space="preserve">Directeur UFR/SDD </t>
  </si>
  <si>
    <t>1.1.2 Sessions de préparation aux examens (toutes cohortes)</t>
  </si>
  <si>
    <t>1.1.2.1</t>
  </si>
  <si>
    <t xml:space="preserve"> Organisation de sessions de préparation aux examens (toutes cohortes) et de préparation aux concours</t>
  </si>
  <si>
    <t>1er semestre : Avril 2016 et 2nd semestre août 2016</t>
  </si>
  <si>
    <t>Les étudiants sont bien préparés pour passer les sessions d'examen</t>
  </si>
  <si>
    <t>Directeur UFR/ECOMIJ</t>
  </si>
  <si>
    <t>1.1.2.2</t>
  </si>
  <si>
    <t xml:space="preserve">Missions de benchmarking sur l'accompagnement des étudiants                                                                                                                                                                 </t>
  </si>
  <si>
    <t>expériences étrangères partagées et adaptées au besoin pour mieux préparer les étudiants aux examens</t>
  </si>
  <si>
    <t xml:space="preserve"> - Directeurs d'UFR - Points focaux - Enseignants de l'UFR - Etudiants - Service pédagogique - Responsable d'objectif</t>
  </si>
  <si>
    <t>Responsable d'objectif</t>
  </si>
  <si>
    <t>1.1.3 Organiser des sessions de formation dans les techniques d’apprentissage (« apprendre autrement »)</t>
  </si>
  <si>
    <t>1.1.3.1</t>
  </si>
  <si>
    <t>Organisation de sessions de formation dans les techniques d’apprentissage (« apprendre autrement ») et d'accompagnement à la participation aux concours</t>
  </si>
  <si>
    <t>Les nouveaux bacheliers sont conscients de la nécessité d'avoir un projet d'étude et sont formés sur d'autres méthodes d'apprentissage</t>
  </si>
  <si>
    <t xml:space="preserve">VRE </t>
  </si>
  <si>
    <t>1.1.4 Organiser des sessions de remédiation pour la préparation à la réussite</t>
  </si>
  <si>
    <t>1.1.4.1</t>
  </si>
  <si>
    <t>Organisation de sessions de remédiation pour la préparation à la réussite</t>
  </si>
  <si>
    <t>1er semestre: mars 2016 et 2nd semestre juillet 2016</t>
  </si>
  <si>
    <t>Les étudiants en difficulté sont pris très tôt afin de prevenir le risque de décrochage et de les aider à obtenir un niveau correct.</t>
  </si>
  <si>
    <t>" - Directeurs d'UFR - Points focaux - Enseignants de l'UFR - Etudiants - Service pédagogique, Responsable d'objectif</t>
  </si>
  <si>
    <t xml:space="preserve">Directeur UFR/SATIC </t>
  </si>
  <si>
    <t>1.1.4.2</t>
  </si>
  <si>
    <t>Mission de Benchmarcking du  Directeur de l'IFOAD  sur les radios et TV comme moyens de remédiations</t>
  </si>
  <si>
    <t>1.1.4.3</t>
  </si>
  <si>
    <t>Réunions, Ateliers résidentiels et non résidentiels sur la pédagogie et la gestion des étudiants</t>
  </si>
  <si>
    <t xml:space="preserve">1.2.1 Appuyer le Bureau d'accueil, d'information et d'orientation (BAIO) </t>
  </si>
  <si>
    <t>1.2.1.1</t>
  </si>
  <si>
    <t>Finalisation activité aménagement BAIO</t>
  </si>
  <si>
    <t>aménagement achevé</t>
  </si>
  <si>
    <t>Cellule de Passation des Marchés, responsable BAIO</t>
  </si>
  <si>
    <t>Responsable BAIO</t>
  </si>
  <si>
    <t>1.2.1.2</t>
  </si>
  <si>
    <t>Installation et paramétrage au BAIO du logiciel de catalogage PMB, acquisition de régistre d'entrée, sécurisation du fonds documentaire/ acquisition de lamelles magnétiques, portique anti vol, etc.</t>
  </si>
  <si>
    <t>BAIO, logiciel de catalogage fonctionnel, fonds documentaire sécurisé, lamelles magnétiques, portique anti vol acquis</t>
  </si>
  <si>
    <t>1.2.1.3</t>
  </si>
  <si>
    <t>Acquisition et impression de supports d'information de l'UADB</t>
  </si>
  <si>
    <t>supports d'information disponibles</t>
  </si>
  <si>
    <t>1.2.1.4</t>
  </si>
  <si>
    <t>matériel, fournitures et consommables de bureau acquis</t>
  </si>
  <si>
    <t>1.2.1.5</t>
  </si>
  <si>
    <t xml:space="preserve">Acquisition et pose de signalétique </t>
  </si>
  <si>
    <t>signalétique acquis et posé, meilleure visibilité</t>
  </si>
  <si>
    <t>1.2.1.6</t>
  </si>
  <si>
    <t>Aquisition de matériel informatique, (vidéo projecteur, écran mural, routeur wifif, ordinateurs, photocopieu, ipad etc.)</t>
  </si>
  <si>
    <t>vidéoprojecteur, panneaux et écran mural acquis</t>
  </si>
  <si>
    <t>1.2.1.7</t>
  </si>
  <si>
    <t xml:space="preserve">Acquisition et impression de supports d'information </t>
  </si>
  <si>
    <t>supports d'information  disponibles</t>
  </si>
  <si>
    <t>1.2.1.8</t>
  </si>
  <si>
    <t>Acquisition de documents  (fonds documentaire)</t>
  </si>
  <si>
    <t xml:space="preserve"> documents acquis</t>
  </si>
  <si>
    <t>1.2.1.9</t>
  </si>
  <si>
    <t xml:space="preserve">Missions, invitation, organisation et/ou  participations à des activités (salons, foires, fora et autres., Responsable BAIO, tuteurs et Enseignants) </t>
  </si>
  <si>
    <t>Missions Responsable BAIO et  Enseignants effectuées</t>
  </si>
  <si>
    <t>Responsable BAIO et enseignants</t>
  </si>
  <si>
    <t>1.2.1.10</t>
  </si>
  <si>
    <t>Recutement de stagiaires chargés d'accueil et/ou vacataires</t>
  </si>
  <si>
    <t>stagiaires recrutés</t>
  </si>
  <si>
    <t>Responsable BAIO , DRH</t>
  </si>
  <si>
    <t>1.2.1.11</t>
  </si>
  <si>
    <t>Collecte et prise d'images pour les documents</t>
  </si>
  <si>
    <t>images collectées et documents imprimés</t>
  </si>
  <si>
    <t xml:space="preserve">Responsable BAIO </t>
  </si>
  <si>
    <t>1.2.1.12</t>
  </si>
  <si>
    <t xml:space="preserve">Organisations d'evenments, d'activités  et et objets publicitaires </t>
  </si>
  <si>
    <t>JPO, pot d'accueil et objets publicitaires organisés</t>
  </si>
  <si>
    <t>1.2.1.13</t>
  </si>
  <si>
    <t>Recrutement d'étudiants et/ou traitement de données et la mise en place de site web / Gestion et traitement du fonds documentaire. Saisie de données sur les examens et concours</t>
  </si>
  <si>
    <t>tuteurs d'accompagnement recrutés</t>
  </si>
  <si>
    <t>1.2.1.14</t>
  </si>
  <si>
    <t>Acquisition de carburant pour missions et activités BAIO</t>
  </si>
  <si>
    <t>déplacements et missions facilités</t>
  </si>
  <si>
    <t>1.2.1.15</t>
  </si>
  <si>
    <t xml:space="preserve">Acquisition  de matériel de bureau, de fournitures de bureau et de consommables </t>
  </si>
  <si>
    <t>conditions de travail améliorées grâce aux nouveaux équipements</t>
  </si>
  <si>
    <t>1.2.1.16</t>
  </si>
  <si>
    <t>Formation du personnel du BAIO sur l'orientation, l'éducation, la formation au niveau national et international (frais  d'inscription, de dossiers, de transport, de mission et de prise en charge )</t>
  </si>
  <si>
    <t>compétences personnel BAIO renforcées</t>
  </si>
  <si>
    <t>Personnel BAIO</t>
  </si>
  <si>
    <t>1.2.1.17</t>
  </si>
  <si>
    <t xml:space="preserve">Organisations de Journées Portes Ouvertes (JPO),  participation à la journée de l'excellence, pot d'accueil et objets publicitaires </t>
  </si>
  <si>
    <t>JPO tenues</t>
  </si>
  <si>
    <t>Responsable BAIO, étudiants</t>
  </si>
  <si>
    <t>1.2.1.18</t>
  </si>
  <si>
    <t>Participation à des  fora et ou salons sur l'orientation, l'éducation, la formation et /ou missions et invitations (billets d'avion, frais d'inscription de visa et de prise en charge )</t>
  </si>
  <si>
    <t>meilleure visibilité de l'UADB, de ses offres de formation et de ses produits</t>
  </si>
  <si>
    <t xml:space="preserve"> Responsable BAIO, étudiants</t>
  </si>
  <si>
    <t>1.2.1.19</t>
  </si>
  <si>
    <t>Organisation  d'ateliers d'information et de formation pour les étudiants, délégués et ou responsables de formation (transport, prise en charge, frais d'animation, restauration )</t>
  </si>
  <si>
    <t>étudiants, délégués et responsables de formation mieux  informés sur les activités du BAIO</t>
  </si>
  <si>
    <t xml:space="preserve"> Responsable BAIO, étudiants, délégués et responsables de formation</t>
  </si>
  <si>
    <t>1.2.1.20</t>
  </si>
  <si>
    <t>Journée d'information, tournées du BAIO dans les villes et régions. Missions d'information  et d'échanges BAIO et  Enseignants dans les lycées (Bambey, Diourbel, Mbacké, Khombole)  Hébergement; restauration, prise en charge, transport.)</t>
  </si>
  <si>
    <t>meilleure visibilité de l'UADB, de ses offres de formation et des débouchés</t>
  </si>
  <si>
    <t xml:space="preserve"> responsable BAIO et agents du BAIO</t>
  </si>
  <si>
    <t>1.2.1.21</t>
  </si>
  <si>
    <t xml:space="preserve">Mission internationale  (billets d'avion, frais de visa, prise en charge…) </t>
  </si>
  <si>
    <t>Expérience étrangère partagée et capitalisée</t>
  </si>
  <si>
    <t>1.2.1.22</t>
  </si>
  <si>
    <t>Recutement de tuteurs chargés d'accueil et d'accompagnement</t>
  </si>
  <si>
    <t>tuteurs disponibles et nouveaux bacheliers intégrés</t>
  </si>
  <si>
    <t>responsable BAIO et agents du BAIO</t>
  </si>
  <si>
    <t>1.2.1.23</t>
  </si>
  <si>
    <t>Organisation d'ateliers internes, externes et de réunions  avec les UFR et les responsables de formation, les tuteurs et composantes de l'UADB</t>
  </si>
  <si>
    <t>ateliers tenus</t>
  </si>
  <si>
    <t>responsable BAIO et UFR</t>
  </si>
  <si>
    <t>1.2.1.24</t>
  </si>
  <si>
    <t>Ligne RPE pour la coordination des activités                                Crédit de 10 000 F pour 12 mois = 120 000 F           Appareil téléphone : 30 000 F</t>
  </si>
  <si>
    <t>communication facilitée</t>
  </si>
  <si>
    <t>1.2.1.25</t>
  </si>
  <si>
    <t>Acquisition de cartes téléphoniques pour les activités du BAIO ( JPO, Missions, forum, salon)</t>
  </si>
  <si>
    <t>1.2.1.26</t>
  </si>
  <si>
    <t>Séminaire de partage avec les UFR: correction, révision de documents  BAIO, préparation,  acquisition d'ouvrages</t>
  </si>
  <si>
    <t>documents BAIO partagés et validés</t>
  </si>
  <si>
    <t>1.2.1.27</t>
  </si>
  <si>
    <t xml:space="preserve">Hébergement et restauration hôtel pour missions au Sénégal </t>
  </si>
  <si>
    <t>1.2.1.28</t>
  </si>
  <si>
    <t>Ateliers de formation et d'information pour les étudiants</t>
  </si>
  <si>
    <t>1.2.1.29</t>
  </si>
  <si>
    <t>Acquisition de mobilier de bureau</t>
  </si>
  <si>
    <t>1.2.2 Soutien à la publication de manuels, fascicules par les enseignants (mise en place des PUB)</t>
  </si>
  <si>
    <t>1.2.2.1.</t>
  </si>
  <si>
    <t>Achat de matériel d'édition et de reliure ( scanneurs pro, tablettes graphiques, ordinateurs portable Mac pro,appareil photos digital ) et et de logiciels (ADOBE CS6, COLOR PAINTER, framemaker)</t>
  </si>
  <si>
    <t>matériel d'édition et de reliure disponible</t>
  </si>
  <si>
    <t>Cellule de passation des marchés, Directrice BU</t>
  </si>
  <si>
    <t>Directrice BU</t>
  </si>
  <si>
    <t>1.2.2.2.</t>
  </si>
  <si>
    <t>Acquisition de materiels d'imprimerie(Carton couv, TABLE millimètre,    matière première reluire, Machine spiral 9mm Coupe-papierPresse d'encollage, etc, )</t>
  </si>
  <si>
    <t>Machine Offset disponible</t>
  </si>
  <si>
    <t>1.2.2.3.</t>
  </si>
  <si>
    <t>Acquisition imprimante Laser A3</t>
  </si>
  <si>
    <t xml:space="preserve"> imprimante Laser A3 disponible</t>
  </si>
  <si>
    <t>1.2.2.4.</t>
  </si>
  <si>
    <t>Acquisition de logiciel pour pulication en ligne</t>
  </si>
  <si>
    <t xml:space="preserve"> logiciel disponible</t>
  </si>
  <si>
    <t>1.2.2.5.</t>
  </si>
  <si>
    <t xml:space="preserve">Recrutement de secrétaire,  informaticien et infographiste pour un an         </t>
  </si>
  <si>
    <t>secrétaire,  informaticien et infographiste disponibles</t>
  </si>
  <si>
    <t>1.2.2.6.</t>
  </si>
  <si>
    <t>Atelier de conception des supports et plan de site  des PUB</t>
  </si>
  <si>
    <t>1.2.2.7.</t>
  </si>
  <si>
    <t xml:space="preserve">Paiement droits d'auteurs, réunions et ateliers du comité scientifique </t>
  </si>
  <si>
    <t>règlementation respectée</t>
  </si>
  <si>
    <t>1.2.2.8.</t>
  </si>
  <si>
    <t>organisation d'au moins  02 séminaires de formation pour le PER et équipe PUB sur la publication/ production de fascicules (frais d'hébergement et de restauration, frais de transport, frais d'organisation, sélection et paiement consultants etc.)</t>
  </si>
  <si>
    <t>au moins 02 séminaires tenus</t>
  </si>
  <si>
    <t>Directrice BU, Equipe technique CDP</t>
  </si>
  <si>
    <t>1.2.2.9.</t>
  </si>
  <si>
    <t>Stage de formation en métier du livre et imprimerie au personnel de reprographie à Dakar (frais de transport, restauration, prise en charge etc.)</t>
  </si>
  <si>
    <t>stage effectué</t>
  </si>
  <si>
    <t>personnel de reprographie, Directice BU</t>
  </si>
  <si>
    <t>1.2.2.10.</t>
  </si>
  <si>
    <t>Participations à des rencontres nationales et africaines (fora, salons etc. pour 2 personnes)</t>
  </si>
  <si>
    <t>expérience étrangère partagée et capitalisée</t>
  </si>
  <si>
    <t>1.2.2.11.</t>
  </si>
  <si>
    <t>Impression de supports de communication pour les PUB (brochures, flyers, affiches)</t>
  </si>
  <si>
    <t>meilleure visibilité</t>
  </si>
  <si>
    <t>Directrice BU, Responsable communication et CPM</t>
  </si>
  <si>
    <t>1.2.2.12.</t>
  </si>
  <si>
    <t>1.2.2.13.</t>
  </si>
  <si>
    <t>conditions d'exécution des missions au Sénégal améliorées</t>
  </si>
  <si>
    <t>1.2.2.14.</t>
  </si>
  <si>
    <t xml:space="preserve">Mission internationale pour 2 personnes                                                                                                                                                                                                                                                       (Frais de visa , billet d'avions, prise en charge etc.) </t>
  </si>
  <si>
    <t xml:space="preserve">renforcement de capacite dans l'informatisation des procedures de publications et de diffusion des productions  scientifiques </t>
  </si>
  <si>
    <t>1.2.2.15.</t>
  </si>
  <si>
    <t>frais d'imprimerie des fascicules, annales et manuels, frais de distribution etc.</t>
  </si>
  <si>
    <t>fascicules, annales et manuels imprimés</t>
  </si>
  <si>
    <t>1.2.2.16.</t>
  </si>
  <si>
    <t>Paiement vacataires BU</t>
  </si>
  <si>
    <t>Recrutement vacataires non programmés en 2016</t>
  </si>
  <si>
    <t>1.2.2.17.</t>
  </si>
  <si>
    <t>Paiement des droits d'auteurs, distribution etc</t>
  </si>
  <si>
    <t>1.3.1. Renforcer le fonds documentaire à travers surtout l'acquisition des ouvrages indiqués dans les syllabi</t>
  </si>
  <si>
    <t>1.3.1.2</t>
  </si>
  <si>
    <t xml:space="preserve">Achat 6 ordinateurs portables </t>
  </si>
  <si>
    <t>6 ordinateurs portables disponibles</t>
  </si>
  <si>
    <t>Directrice BU, cellule passation de marché</t>
  </si>
  <si>
    <t>1.3.1.3</t>
  </si>
  <si>
    <t xml:space="preserve">Achat de 6 tables de traitement </t>
  </si>
  <si>
    <t xml:space="preserve"> 6 tables de traitement disponibles</t>
  </si>
  <si>
    <t>1.3.1.4</t>
  </si>
  <si>
    <t xml:space="preserve">Achat de 6000 puces électroniques  antivol adhésives recto-verso </t>
  </si>
  <si>
    <t>6000 puces électroniques  antivol adhésives recto-verso disponibles</t>
  </si>
  <si>
    <t>1.3.1.5</t>
  </si>
  <si>
    <t>Achat de disques durs externes de sauvegarde 3,5'' 1000 Go</t>
  </si>
  <si>
    <t>Ouvrages disponibles au prêt et adéquation entre plateau de la bibliothéque syllabi disponibles</t>
  </si>
  <si>
    <t>1.3.1.6</t>
  </si>
  <si>
    <t xml:space="preserve">Achat de paquets d’étiquettes  adhésives </t>
  </si>
  <si>
    <t xml:space="preserve">paquets d’étiquettes  adhésives disponibles </t>
  </si>
  <si>
    <t>1.3.1.7</t>
  </si>
  <si>
    <t xml:space="preserve">Achat de chariots de dépot </t>
  </si>
  <si>
    <t>chariots de dépot acquis disponibles</t>
  </si>
  <si>
    <t>1.3.1.8</t>
  </si>
  <si>
    <t>Acquisition imprimante multifonction</t>
  </si>
  <si>
    <t>imprimante multifonction disponible</t>
  </si>
  <si>
    <t>1.3.1.9</t>
  </si>
  <si>
    <t xml:space="preserve">Achat d'ouvrages contenus dans les syllabi de la nouvelle licence ingénierie juridique </t>
  </si>
  <si>
    <t>ouvrages contenus dans les syllabi de la nouvelle licence ingénierie juridique disponibles</t>
  </si>
  <si>
    <t>Directrice BU, UFR et CPM</t>
  </si>
  <si>
    <t>1.3.1.10</t>
  </si>
  <si>
    <t>Acquisition de fonds documentaire de renforcement</t>
  </si>
  <si>
    <t>fonds documentaire de renforcement disponible</t>
  </si>
  <si>
    <t>1.3.1.11</t>
  </si>
  <si>
    <t xml:space="preserve">Aquisition d'ouvrages </t>
  </si>
  <si>
    <t>ouvrages disponibles</t>
  </si>
  <si>
    <t>1.3.1.12</t>
  </si>
  <si>
    <t xml:space="preserve">Achat  d'1 ordinateur I MAC  21 POUCES </t>
  </si>
  <si>
    <t>1 ordinateur I MAC  21 POUCES acquis</t>
  </si>
  <si>
    <t>Directrice BU et CPM</t>
  </si>
  <si>
    <t>1.3.1.13</t>
  </si>
  <si>
    <t>Paiement redevances pour le traitement du fonds documentaire</t>
  </si>
  <si>
    <t xml:space="preserve"> budget intégralement réalloué </t>
  </si>
  <si>
    <t>1.3.1.14</t>
  </si>
  <si>
    <t xml:space="preserve">Acquisition d’ouvrages pour renforcer le fonds documentaire, </t>
  </si>
  <si>
    <t xml:space="preserve"> </t>
  </si>
  <si>
    <t>1.3.1.15</t>
  </si>
  <si>
    <t xml:space="preserve">acquisition de fournitures, matériels et mobiliers (photocopieur Pro, agendas, clés USB, , pins, stylos personnalisés, etc,) </t>
  </si>
  <si>
    <t>1.3.2  Accés (inscription, abonnement) à des bibliothéques numériques et à des bases de données</t>
  </si>
  <si>
    <t>1.3.2.1</t>
  </si>
  <si>
    <t>Organisation de séminaires de formation à l'utilisation des bases de données et de la bibliothèque numérique pour le  PER et le PATS</t>
  </si>
  <si>
    <t xml:space="preserve">Disposer davantage de ressources en complétant le plateau physique à travers le plateau numérique,  et permettre aux PER de faire de la recherche </t>
  </si>
  <si>
    <t>Directrice BU, PER, PATS</t>
  </si>
  <si>
    <t>1.3.2.2</t>
  </si>
  <si>
    <t>Formation du PATS et des étudiants (journées portes ouvertes sur les 3 sites)</t>
  </si>
  <si>
    <t>PATS, étudiants, Directrice BU</t>
  </si>
  <si>
    <t>1.3.2.3</t>
  </si>
  <si>
    <t>Journée de retraite pour la réalisation de la bibliothèque OPEN SOURCE</t>
  </si>
  <si>
    <t>Expériences partagées et capitalisées</t>
  </si>
  <si>
    <t>1.3.2.4</t>
  </si>
  <si>
    <t>Paiement redevances annuelles Cyberlibris et Econlit</t>
  </si>
  <si>
    <t>bibliothèques numériques accessibles</t>
  </si>
  <si>
    <t>Service des finances</t>
  </si>
  <si>
    <t>1.3.2.5</t>
  </si>
  <si>
    <t>Ateliers de  déploiement de l'extension SGCM et de formation du personnel BU</t>
  </si>
  <si>
    <t>réallocation 1.1.21</t>
  </si>
  <si>
    <t>1.3.2.6</t>
  </si>
  <si>
    <t>Extension SGCM  déployée et personnel BU formé</t>
  </si>
  <si>
    <t>Directrice BU, UFR</t>
  </si>
  <si>
    <t>1.3.2.7</t>
  </si>
  <si>
    <t>Achat 30 ordinateurs</t>
  </si>
  <si>
    <t>Marché matériel informatique liquidé</t>
  </si>
  <si>
    <t>1.3.2.8</t>
  </si>
  <si>
    <t>Achat 30 onduleurs</t>
  </si>
  <si>
    <t>1.3.3 Organisation d'activités pédagogiques et d'animation de l'espace académique (conférences ateliers etc.)</t>
  </si>
  <si>
    <t>1.3.3.1</t>
  </si>
  <si>
    <t>Cycle de  conférences scientifiques conférences internationales, d'actions d'animation culturelle et sportive (randonnée pédestre, compétitions), journée d'excellence, « café des sciences » (débats etc.), « projet campus en mouvement » pour l’accompagnement et l’intégration des nouveaux étudiants, promotion de la santé, développement de la citoyenneté, animations et activités de vulgarisation scientifique des clubs scientifique et PEGAS, caravane santé communautaire, etc.
(billets d'avion conférenciers, restauration, prise en charge conférenciers, hébergement, transport, communication, etc)</t>
  </si>
  <si>
    <t xml:space="preserve"> campus  devenu un lieu d'émulsion intellectuelle  et de plénitude physique </t>
  </si>
  <si>
    <t>Directrice BU, étudiants, UFR</t>
  </si>
  <si>
    <t>1.3.3.2</t>
  </si>
  <si>
    <t>Organisation d'actions d'animation culturelle (ateliers de création d'écriture, foires aux livres, photographies montage vidéo, animation de site web, publi-reportage etc.) et sportive (randonnées pédestres,  tournoi inter UFR, JPO participation aux compétitions universitaires etc.)</t>
  </si>
  <si>
    <t>1.3.3.3</t>
  </si>
  <si>
    <t>forum solaire, forum économique, forum santé, Journées portes ouvertes</t>
  </si>
  <si>
    <t>Directrice BU, Resp objectif 1, Cellule de passation des marchés (CPM)</t>
  </si>
  <si>
    <t>1.3.3.4</t>
  </si>
  <si>
    <t>1.3.3.5</t>
  </si>
  <si>
    <t>Achat de cartes de crédits téléphoniques pour les activités</t>
  </si>
  <si>
    <t>1.3.3.6</t>
  </si>
  <si>
    <t xml:space="preserve">Achat de Carburant </t>
  </si>
  <si>
    <t>1.3.3.7</t>
  </si>
  <si>
    <t>Matériel de bureau, mobilier et consommables</t>
  </si>
  <si>
    <t>1.3.3.8</t>
  </si>
  <si>
    <t>organisation de conférences internationales, d'actions d'animation culturelle et sportive, « café des sciences » (débats etc.), « projet campus en mouvement » pour l’accompagnement et l’intégration des nouveaux étudiants, promotion de la santé, développement de la citoyenneté etc.</t>
  </si>
  <si>
    <t>Sous-total objectif 1</t>
  </si>
  <si>
    <t>OBJECTIF 2 : AMELIORATION DE L'UTILISATION DES TIC</t>
  </si>
  <si>
    <t>REALLOCATION/REAFFECTATION 2017</t>
  </si>
  <si>
    <t>2.1.1. Appui au Centre de Ressources Informatiques</t>
  </si>
  <si>
    <t>2.1.1.1</t>
  </si>
  <si>
    <t>Acquisition de consommables informatiques pour le CRI et l'Espace Polyvalent (EP)</t>
  </si>
  <si>
    <t>consommables acquis pour le CRI et l'EP</t>
  </si>
  <si>
    <t>Agents CRI, CPM</t>
  </si>
  <si>
    <t>Directeur CRI</t>
  </si>
  <si>
    <t>2.1.1.2</t>
  </si>
  <si>
    <t>Acquisition de carburant</t>
  </si>
  <si>
    <t>Déplacements facilités</t>
  </si>
  <si>
    <t>2.1.1.3</t>
  </si>
  <si>
    <t>Formation des agents du CRI pour la gestion de l'infrastructure TIC</t>
  </si>
  <si>
    <t>agents du CRI plus compétents</t>
  </si>
  <si>
    <t xml:space="preserve">Directeur CRI </t>
  </si>
  <si>
    <t>2.1.1.4</t>
  </si>
  <si>
    <t>Missions d'imprégnation du CRI et de l'IFOAD )</t>
  </si>
  <si>
    <t>missions effectuées, expériences valorisées</t>
  </si>
  <si>
    <t>Agents CRI</t>
  </si>
  <si>
    <t>2.1.1.5</t>
  </si>
  <si>
    <t>Câblage  salles serveurs BU et Secrétariat Général</t>
  </si>
  <si>
    <t xml:space="preserve">câblage  salle serveur BU effectué </t>
  </si>
  <si>
    <t>Agents CRI , CPM</t>
  </si>
  <si>
    <t>2.1.1.6</t>
  </si>
  <si>
    <t>Aménagements espaces multimédia et CRI (pupitres,  tables de réunion, nappes,chaises, rideaux, cimatiseurs etc…..)</t>
  </si>
  <si>
    <t xml:space="preserve">espace multimedia aménagé </t>
  </si>
  <si>
    <t>2.1.1.7</t>
  </si>
  <si>
    <t>Acquisition de mobilier de bureau pour aménagements espace multimédia et CRI,</t>
  </si>
  <si>
    <t>Espace multimédia et CRI mieux aménagés</t>
  </si>
  <si>
    <t>2.1.1.8</t>
  </si>
  <si>
    <t>Communication (RPE, téléphones, cartes de crédit etc.)</t>
  </si>
  <si>
    <t>communication au niveau du CRI, facilitée</t>
  </si>
  <si>
    <t>2.1.1.9</t>
  </si>
  <si>
    <t>Augmentation et gestion bande passante internet</t>
  </si>
  <si>
    <t>meilleure bande passante à l'UADB</t>
  </si>
  <si>
    <t>2.1.1.10</t>
  </si>
  <si>
    <t>Maintenance du cablage du CRI, vidéoprojecteurs et tableaux</t>
  </si>
  <si>
    <t xml:space="preserve">  Maintenance  du cablage du C RI</t>
  </si>
  <si>
    <t>2.1.1.11</t>
  </si>
  <si>
    <t>Organisation de réunions et ateliers sectoriels de l'objectif 2 et du CRI (production, transport, déjeuner, pause café, etc)</t>
  </si>
  <si>
    <t>janv-déc-16</t>
  </si>
  <si>
    <t>CRI plus fonctionnel</t>
  </si>
  <si>
    <t>2.1.1.12</t>
  </si>
  <si>
    <t xml:space="preserve">Equipements informatiques </t>
  </si>
  <si>
    <t>dec-16</t>
  </si>
  <si>
    <t>CRI mieux équipé</t>
  </si>
  <si>
    <t>CRI, CPM</t>
  </si>
  <si>
    <t>2.1.1.13</t>
  </si>
  <si>
    <t xml:space="preserve"> Equipement des salles en vidéoprojecteurs  </t>
  </si>
  <si>
    <t>salles équipées en vidéoprojecteurs</t>
  </si>
  <si>
    <t>2.1.1.14</t>
  </si>
  <si>
    <t>Acquisition de câbles d'alimentation électrique pour téléphonie IP</t>
  </si>
  <si>
    <t>Téléphonie IP acquise</t>
  </si>
  <si>
    <t>2.1.1.15</t>
  </si>
  <si>
    <t>Acquisition de vidéoprojecteurs et écrans de projections et ampoules de rechange</t>
  </si>
  <si>
    <t>videoprojecteurs et écrans de projections</t>
  </si>
  <si>
    <t>2.1.1.16</t>
  </si>
  <si>
    <t>Acquisition vidéoprojecteurs et écrans de projections  (compléments)</t>
  </si>
  <si>
    <t>salles mieux équipées</t>
  </si>
  <si>
    <t>2.1.1.17</t>
  </si>
  <si>
    <t>Acquisition et installation de supports pour tableaux</t>
  </si>
  <si>
    <t>tableaux fonctionnels</t>
  </si>
  <si>
    <t>2.1.1.18</t>
  </si>
  <si>
    <t>Acquisition de matériel de bureau pour aménagements espace multimédia et CRI,</t>
  </si>
  <si>
    <t>espace multimédia et CRI mieux aménagés</t>
  </si>
  <si>
    <t>2.1.1.19</t>
  </si>
  <si>
    <t xml:space="preserve">Aménagement et équipement d'un espace multimédia polyvalent (visioconférence, multimédia, etc.) </t>
  </si>
  <si>
    <t>Budget entièrement réalloué</t>
  </si>
  <si>
    <t>2.1.1.20</t>
  </si>
  <si>
    <t>Extension Reseau LAN</t>
  </si>
  <si>
    <t xml:space="preserve">Augmentation et gestion de la bande passante internet, renforcement WIFI sur les sites distants de l'UADB, acquisition de consommables informatiques pour le Centre de ressources informatiques et l’Espace Polyvalent, acquisition de vidéoprojecteurs et écrans de projections et ampoules de rechange
</t>
  </si>
  <si>
    <t xml:space="preserve">2.1.2.  Renforcer la plateforme d’enseignement en informatique </t>
  </si>
  <si>
    <t>2.1.2.1</t>
  </si>
  <si>
    <t>Acquisition de matériel informatique (éléments d'interconnexion)</t>
  </si>
  <si>
    <t>matériel informatique, onduleurs et batteries acquis</t>
  </si>
  <si>
    <t>CRI, UFR, CPM</t>
  </si>
  <si>
    <t xml:space="preserve"> Administrateur chargé des réseaux informatiques et telecoms et du système d'informatique</t>
  </si>
  <si>
    <t>2.1.2.2</t>
  </si>
  <si>
    <t>Acquisition et installation d'équipements en énergie solaire pour autonomiser le systéme informatique</t>
  </si>
  <si>
    <t>équipements en énergie solaire acquis et installés</t>
  </si>
  <si>
    <t>2.1.2.3</t>
  </si>
  <si>
    <t xml:space="preserve">Réhabilitation salle serveur Rectorat et Centralisation des lignes internet </t>
  </si>
  <si>
    <t>linges internet centralisés à la salle serveur</t>
  </si>
  <si>
    <t>CRI, UFR , CPM</t>
  </si>
  <si>
    <t>2.1.2.4</t>
  </si>
  <si>
    <t>Installation d'un systéme de surveillance et de sécurité pour le CRI et  les salles informatiques</t>
  </si>
  <si>
    <t>système de surveillance fonctionnel</t>
  </si>
  <si>
    <t>2.1.2.5</t>
  </si>
  <si>
    <r>
      <t xml:space="preserve">Acquisition de matériel d'entretien wifi </t>
    </r>
    <r>
      <rPr>
        <sz val="12"/>
        <color indexed="10"/>
        <rFont val="Times New Roman"/>
        <family val="1"/>
      </rPr>
      <t/>
    </r>
  </si>
  <si>
    <t xml:space="preserve">Entretien du matériel salles informatiques effectué, complément  matériel wifi acquis </t>
  </si>
  <si>
    <t>2.1.2.6</t>
  </si>
  <si>
    <t xml:space="preserve">Acquisition de matériel de TP  en maintenance informatique
</t>
  </si>
  <si>
    <t xml:space="preserve"> matériel de TP  en maintenance informatique disponible</t>
  </si>
  <si>
    <t>2.1.2.7</t>
  </si>
  <si>
    <t xml:space="preserve">Sécurisation des salles informatiques (extincteurs, systèmes antivols, surveillance humaine, vidéosurveillance, etc.) 
</t>
  </si>
  <si>
    <t>2.1.2.8</t>
  </si>
  <si>
    <t>Autonomisation de l'infrastructure TIC en énergie (Etudes techniques, Mini centrales solaires et/ou groupes électrogènes, Entretien, maintenance)</t>
  </si>
  <si>
    <t xml:space="preserve"> Acquisition d'ordinateurs pour les salles de cours et de TP en informatique 
</t>
  </si>
  <si>
    <t xml:space="preserve">2.1.3.   Renforcement du système d’information </t>
  </si>
  <si>
    <t>2.1.3.1</t>
  </si>
  <si>
    <t xml:space="preserve">Développement de modules complémentaires et former les agents à leur exploitation </t>
  </si>
  <si>
    <t xml:space="preserve">2.2.1. Faciliter l’acquisition par les étudiants d’ordinateurs personnels </t>
  </si>
  <si>
    <t>2.2.1.1</t>
  </si>
  <si>
    <t>Reprise activités "un étudiant, un ordinateur"</t>
  </si>
  <si>
    <t>Dec-14</t>
  </si>
  <si>
    <t>activités reprises</t>
  </si>
  <si>
    <t xml:space="preserve">CRI, </t>
  </si>
  <si>
    <t>chef de service finance</t>
  </si>
  <si>
    <t>2.2.1.2</t>
  </si>
  <si>
    <t>Recrutement et frais de fonctionnement du BGP</t>
  </si>
  <si>
    <t>BGP aménagé et fonctionnel</t>
  </si>
  <si>
    <t>CRI,</t>
  </si>
  <si>
    <t>Agent CRI chargé du programme</t>
  </si>
  <si>
    <t>2.2.2. Promouvoir l'utilisation des TIC par les PER, les étudiants</t>
  </si>
  <si>
    <t>2.2.2.1</t>
  </si>
  <si>
    <t xml:space="preserve">Sélection de Consultants pour le fonctionnement des plateformes de ressources pédagogiques  du CRI </t>
  </si>
  <si>
    <t>Consultants sélectionnés</t>
  </si>
  <si>
    <t>CRI, UFR, Consultants externes, CPM</t>
  </si>
  <si>
    <t xml:space="preserve">Point focal SATIC </t>
  </si>
  <si>
    <t>2.2.2.2</t>
  </si>
  <si>
    <t xml:space="preserve">Recrutement techniciens pour le CRI </t>
  </si>
  <si>
    <t xml:space="preserve">techniciens multimédia, technopédagogues </t>
  </si>
  <si>
    <t>CRI, UFR, Consultant externe</t>
  </si>
  <si>
    <t>2.2.2.3</t>
  </si>
  <si>
    <t xml:space="preserve">Acquisition de Licences Informatiques </t>
  </si>
  <si>
    <t>Licences Informatiques acquises</t>
  </si>
  <si>
    <t>2.2.2.4</t>
  </si>
  <si>
    <t xml:space="preserve">Acquisition de Logiciels pedagogiques </t>
  </si>
  <si>
    <t>Logiciels pedagogiques acquis</t>
  </si>
  <si>
    <t>2.2.2.5</t>
  </si>
  <si>
    <t>Equipement de stokage et d'archivage + licence de stokage + certificats</t>
  </si>
  <si>
    <t>Equipement de stokage et d'archivage + licence de stokage + certificats acquis</t>
  </si>
  <si>
    <t>2.2.2.6</t>
  </si>
  <si>
    <t xml:space="preserve">Ateliers de mise en ligne des cours pour le PER </t>
  </si>
  <si>
    <t>Atelier de mise en ligne des cours pour le PER organisé</t>
  </si>
  <si>
    <t>CRI, UFR, Consultant externe, CPM</t>
  </si>
  <si>
    <t>Directeur IFOAD</t>
  </si>
  <si>
    <t>2.2.2.7</t>
  </si>
  <si>
    <t xml:space="preserve">Acquisition de ressources pour les TICE 
</t>
  </si>
  <si>
    <t>meilleure utilisation des TIC</t>
  </si>
  <si>
    <t>2.2.2.8</t>
  </si>
  <si>
    <t>Achat de cartes et prise en charge RPE pour agents CRI et IFOAD</t>
  </si>
  <si>
    <t>communication facilitée pour les agents du CRI et de l'IFOAD</t>
  </si>
  <si>
    <t>2.2.2.9</t>
  </si>
  <si>
    <t xml:space="preserve">Sélection de Consultants pour la mise en place de la radio et web TV </t>
  </si>
  <si>
    <t>radio et web TV disponibles et fonctionnelles</t>
  </si>
  <si>
    <t>CRI, IFOAD, CPM</t>
  </si>
  <si>
    <t>2.2.2.10</t>
  </si>
  <si>
    <t>Ateliers  de formation, animation, conférence, rencontres etc. dans les TIC (Organisation et recrutement de consultants)</t>
  </si>
  <si>
    <t>2.2.2.11</t>
  </si>
  <si>
    <t xml:space="preserve">Cessions de droits sur les cours en ligne (300000F/cours) </t>
  </si>
  <si>
    <t>2.2.2.12</t>
  </si>
  <si>
    <t>Ateliers de formation des PER dans les TICE</t>
  </si>
  <si>
    <t>2.2.2.13</t>
  </si>
  <si>
    <t xml:space="preserve">Sessions de production de documents pour les TICE (supports en ligne, tutoriels, etc.) </t>
  </si>
  <si>
    <t>2.2.2.14</t>
  </si>
  <si>
    <t>Sessions de formation des étudiants sur les plateformes pédagogiques</t>
  </si>
  <si>
    <t>reliquat entièrement réalloué</t>
  </si>
  <si>
    <t>2.2.2.15</t>
  </si>
  <si>
    <t>Cessions de droits des cours en ligne pour 2014 et Tutorats des cours en ligne 2014</t>
  </si>
  <si>
    <t>droits des cours en ligne pour 2014 déjà cédés et reliquat entièrement réalloué</t>
  </si>
  <si>
    <t>2.2.2.16</t>
  </si>
  <si>
    <t>Mission de benchmark pour la gestion l'infrastrucure TIC et la RTU</t>
  </si>
  <si>
    <t>3100 000</t>
  </si>
  <si>
    <t>2.2.2.17</t>
  </si>
  <si>
    <t>Materie Audi-Visuel</t>
  </si>
  <si>
    <t>2.2.2.18</t>
  </si>
  <si>
    <t>Prisen en charges abonnements, redevances, achats etc en IT(NOMS DE DOMAINES, WEB SERVICES,ETC...)</t>
  </si>
  <si>
    <t>Prise en charge de consultants pour le fonctionnement des plateformes de ressources pédagogiques du Centre de Ressources informatiques, renouvellement de licences informatiques, Cessions de droits sur les cours en ligne, ateliers de formation des PER dans les TICE, sessions de production de documents pour les TICE (supports en ligne, tutoriels, etc.)</t>
  </si>
  <si>
    <t>Sous-total objectif 2 :</t>
  </si>
  <si>
    <t>OBJECTIF 3 : AMELIORATION DE LA QUALITE DES ENSEIGNEMENTS</t>
  </si>
  <si>
    <t xml:space="preserve">ALLOCATIONS 2016 </t>
  </si>
  <si>
    <t>3.1.1. Renforcement des capacités dans le domaine du LMD et de la pédagogie universitaire</t>
  </si>
  <si>
    <t>3.1.1.1</t>
  </si>
  <si>
    <t xml:space="preserve">Acquisition de crédit téléphone  </t>
  </si>
  <si>
    <t>Commission LMD fonctionnelle</t>
  </si>
  <si>
    <t>Membres de la commission LMD</t>
  </si>
  <si>
    <t>Resp comm LMD</t>
  </si>
  <si>
    <t>3.1.1.2</t>
  </si>
  <si>
    <t>Achat de matériel informatique : 1  ordinateur Mac</t>
  </si>
  <si>
    <t>Commission LMD et VRE mieux équipés</t>
  </si>
  <si>
    <t>Membres de la commission LMD, VRE</t>
  </si>
  <si>
    <t>3.1.1.3</t>
  </si>
  <si>
    <t>Participations à des rencontres académiques nationales ou internationales, visites de travail nationales et internationales : transport,  indemnité, hébergement</t>
  </si>
  <si>
    <t>meilleure partage sur la pédagogie</t>
  </si>
  <si>
    <t>3.1.1.4</t>
  </si>
  <si>
    <t>Organisation de réunions sur le LMD et le fonctionnement de la pédagogie (production, transport, déjeuner, pause café, etc)</t>
  </si>
  <si>
    <t>3.1.1.5</t>
  </si>
  <si>
    <t xml:space="preserve">Organisation de séminaires de formation et partage sur la pédagogie universitaire et les méthodes d'évaluation :                                      </t>
  </si>
  <si>
    <t>Capacités du PER en pédagogie universitaire renforcées</t>
  </si>
  <si>
    <t>Enseignants</t>
  </si>
  <si>
    <t>3.1.1.6</t>
  </si>
  <si>
    <t>Impression de documents LMD</t>
  </si>
  <si>
    <t xml:space="preserve">Commission LMD </t>
  </si>
  <si>
    <t>3.1.1.7</t>
  </si>
  <si>
    <t>Programmes de formation faits selon le format LMD</t>
  </si>
  <si>
    <t>Responsable commission LMD</t>
  </si>
  <si>
    <t>3.1.1.8</t>
  </si>
  <si>
    <t>Renforcement des capacités du personnel</t>
  </si>
  <si>
    <t>personnel plus compétent</t>
  </si>
  <si>
    <t>PER, Responsable commission LMD, VRE</t>
  </si>
  <si>
    <t>3.1.1.9</t>
  </si>
  <si>
    <t xml:space="preserve">Formations dans la pédagogie universitaire : pédagogies actives, méthodes d'évaluation, etc.  </t>
  </si>
  <si>
    <t>3.1.1.10</t>
  </si>
  <si>
    <t xml:space="preserve">Formations dans la gestion pédagogique du LMD </t>
  </si>
  <si>
    <t>3.1.1.11</t>
  </si>
  <si>
    <t xml:space="preserve">Activités de production et de mises à jour de documents pédagogiques (guide LMD, maquettes pédagogiques, plans de cours, offre de services, etc.) 
</t>
  </si>
  <si>
    <t xml:space="preserve">documents pédagogiques (guide LMD, maquettes pédagogiques, plans de cours, offres de services, etc.) mis à jour et disponibles </t>
  </si>
  <si>
    <t>3.1.1.12</t>
  </si>
  <si>
    <t>Acquisition de dictionnaires</t>
  </si>
  <si>
    <t>dictionnaires acquis</t>
  </si>
  <si>
    <t>Commission LMD</t>
  </si>
  <si>
    <t>3.1.1.13</t>
  </si>
  <si>
    <t>Responsables pédagogiques</t>
  </si>
  <si>
    <t>3.1.1.14</t>
  </si>
  <si>
    <t>Aménagement bureaux et acquisition de matériel pour la commission LMD, la cellule qualité et le Vice- rectorat chargé des Etudes</t>
  </si>
  <si>
    <t>bureau équipé et fonctionnel</t>
  </si>
  <si>
    <t>3.1.1.15</t>
  </si>
  <si>
    <t>Automatisation de la gestion pédagogique (délibération, codification, etc) et des enseignants non permanents (paiement, etc) avec LMDPRO: tuteurs, consultants à temps partiel: Séminaires/ Ateliers: Frais d'hotel, production, transport, déjeuner, pause- café, etc</t>
  </si>
  <si>
    <t>mai-août-16</t>
  </si>
  <si>
    <t>3.1.1.16</t>
  </si>
  <si>
    <t>fournitures et pose de rideaux bureau commission LMD</t>
  </si>
  <si>
    <t>Bureau commission LMD aménagé</t>
  </si>
  <si>
    <t>3.1.1.17</t>
  </si>
  <si>
    <t xml:space="preserve">Appui à la commission LMD 
</t>
  </si>
  <si>
    <t>3.1.1.18</t>
  </si>
  <si>
    <t xml:space="preserve">Acquisition de ressources documentaires liées au LMD et à la pédagogie universitaire </t>
  </si>
  <si>
    <t>3.1.2 Formations dans la pédagogie universitaire : pédagogies actives, méthodes d'évaluation, etc.</t>
  </si>
  <si>
    <t>3.1.2.1</t>
  </si>
  <si>
    <t>Formation en pédagogie universitaire destinée surtout aux nouveaux enseignants chercheurs recrutés annuellement par l’UADB (20 par an en moyenne)</t>
  </si>
  <si>
    <t>3.1.3 Formations dans la gestion pédagogique du LMD</t>
  </si>
  <si>
    <t>3.1.3.1</t>
  </si>
  <si>
    <t>Formation en LMD destinée surtout aux nouveaux enseignants chercheurs recrutés annuellement par l’UADB</t>
  </si>
  <si>
    <t>3.2.1 Equipement des salles de TP de Physique et de Chimie</t>
  </si>
  <si>
    <t>3.2.1.1</t>
  </si>
  <si>
    <t>Aménagement et équipement des salles de TP de Chimie et de Physique</t>
  </si>
  <si>
    <t>Salles aménagées et équipées</t>
  </si>
  <si>
    <t>Département de physique</t>
  </si>
  <si>
    <t>chef de département de physique</t>
  </si>
  <si>
    <t>3.2.1.2</t>
  </si>
  <si>
    <t>Achat de produits Chimiques</t>
  </si>
  <si>
    <t>produits chimiques achetés</t>
  </si>
  <si>
    <t>Département de chimie</t>
  </si>
  <si>
    <t>3.2.1.3</t>
  </si>
  <si>
    <t>Acquérir des climatiseurs pour les salles TP et les salles informatiques</t>
  </si>
  <si>
    <t>salles TP et salles informatiques climatisées</t>
  </si>
  <si>
    <t>Départements de physique et chimie</t>
  </si>
  <si>
    <t>3.2.1.4</t>
  </si>
  <si>
    <t>Faire l'entretien, la maintenance et l'aménagement des salles de TP  de physique</t>
  </si>
  <si>
    <t>salles TP Physique maintenues</t>
  </si>
  <si>
    <t>3.2.1.5</t>
  </si>
  <si>
    <t xml:space="preserve">Faire l'entretien, la maintenance et l'aménagement des salles de TP  de Chimie </t>
  </si>
  <si>
    <t>Salles TP chimie maintenes</t>
  </si>
  <si>
    <t>3.2.1.6</t>
  </si>
  <si>
    <t>Achat de matériel de TP et des produits Chimiques (complément)</t>
  </si>
  <si>
    <t>3.2.1.7</t>
  </si>
  <si>
    <t>Achat de matériel de TP et des produits Chimiques (complément commande DISLAB)</t>
  </si>
  <si>
    <t>Frais de transport et d'assurance couvert</t>
  </si>
  <si>
    <t>chef de département de chimie</t>
  </si>
  <si>
    <t>3.2.1.8</t>
  </si>
  <si>
    <t>Achat de matériel de TP et des ordinateurs de physique (complément)</t>
  </si>
  <si>
    <t>3.2.1.9</t>
  </si>
  <si>
    <t>Ateliers d'installation du matériel de TP physique et Chimie (production, transport, restauration, etc)</t>
  </si>
  <si>
    <t>responsables des TP et maintenanciers formés</t>
  </si>
  <si>
    <t>3.2.1.10</t>
  </si>
  <si>
    <t>Séminaires Armoires Travaux Pratiques CIRUISEF (frais d'hôtel, transport, restauration, publicité, secrétariat, réunions etc.)</t>
  </si>
  <si>
    <t>compétences des différents acteurs renforcées, meilleure performance des acteurs</t>
  </si>
  <si>
    <t>VRE</t>
  </si>
  <si>
    <t>3.2.1.11</t>
  </si>
  <si>
    <t>Former à l'étranger les responsables d'action en sécurité dans les laboratoires</t>
  </si>
  <si>
    <t>Département de physique et chimie</t>
  </si>
  <si>
    <t>3.2.1.12</t>
  </si>
  <si>
    <t xml:space="preserve">Participation au CIRUISEF 2016 ( inscription, perdiem, transport, frais de visa et d'assurance, frais d'inscription, etc): 2 500 000              -02 billets d'avion: 1 500 000F  </t>
  </si>
  <si>
    <t>Participation des activités de la Ciruisef sur les TP effective</t>
  </si>
  <si>
    <t>3.2.1.13</t>
  </si>
  <si>
    <t>Réfection du Centre de Ngoundiane (peinture)</t>
  </si>
  <si>
    <t xml:space="preserve"> Centre de Ngoundiane réfectionné</t>
  </si>
  <si>
    <t>3.2.1.14</t>
  </si>
  <si>
    <t>Aménagements de 4 toilettes à Ngoundiane (bureau physique, bureau maths et 2 bureaux en chimie)</t>
  </si>
  <si>
    <t xml:space="preserve"> Centre de Ngoundiane réhabilité</t>
  </si>
  <si>
    <t>3.2.1.15</t>
  </si>
  <si>
    <t>Réparation portes armoires salles TP à Bambey</t>
  </si>
  <si>
    <t>salles TP de Bambey remises en état</t>
  </si>
  <si>
    <t>3.2.1.16</t>
  </si>
  <si>
    <t>Fournitures et pose de prises électriques pour salles TP Ngoundiane</t>
  </si>
  <si>
    <t>salles TP Ngoundiane remises en état</t>
  </si>
  <si>
    <t>3.2.1.17</t>
  </si>
  <si>
    <t>Réfection paillasses chimie à Bambey</t>
  </si>
  <si>
    <t>paillasses chimie remises en état à Bambey</t>
  </si>
  <si>
    <t>3.2.1.18</t>
  </si>
  <si>
    <t xml:space="preserve">Amenagement et équipement salles moniteurs physique </t>
  </si>
  <si>
    <t xml:space="preserve">bureaux et étagères murales pour l'atelier des moniteurs </t>
  </si>
  <si>
    <t>3.2.1.19</t>
  </si>
  <si>
    <t xml:space="preserve">Amenagement et équipement salles nomiteurs chimie </t>
  </si>
  <si>
    <t>3.2.1.20</t>
  </si>
  <si>
    <t xml:space="preserve">Entretien, maintenance et formation des techniciens </t>
  </si>
  <si>
    <t>3.2.1.21</t>
  </si>
  <si>
    <t>Construction/confection de Grilles escaliers</t>
  </si>
  <si>
    <t>Nouveaux bâtiments sécurisés</t>
  </si>
  <si>
    <t>3.2.1.22</t>
  </si>
  <si>
    <t>Reliquat matériel 2SI</t>
  </si>
  <si>
    <t>3.2.2.  Réhabilitation des amphis et des salles d'enseignement</t>
  </si>
  <si>
    <t>3.2.2.1</t>
  </si>
  <si>
    <t>Acheter des accessoires de sonorisation et installer le matériel</t>
  </si>
  <si>
    <t>accessoires de sonorisation acquis et matériel installé</t>
  </si>
  <si>
    <t>VRE et tous les Départements</t>
  </si>
  <si>
    <t>3.2.2.2</t>
  </si>
  <si>
    <t>Réfectionner des salles d'enseignement (réparation portes, fenêtres, cadre, numérotation, tableaux d'affichage, tableaux mélamines, rideaux, serrures, etc.)</t>
  </si>
  <si>
    <t>Salles d'enseignement réfectionnés</t>
  </si>
  <si>
    <t xml:space="preserve">VRE et tous les départements </t>
  </si>
  <si>
    <t>VRE, Directeur CIAQ</t>
  </si>
  <si>
    <t>3.3.1 Renforcer les compétences du personnel en assurance qualité</t>
  </si>
  <si>
    <t>3.3.1.1</t>
  </si>
  <si>
    <t xml:space="preserve">Ateliers en assurance qualité,(PER, PATS, étudiants)  restitution des résultats des auto-évaluations et perfectionnement des agents                                        </t>
  </si>
  <si>
    <t>juin-dec-16</t>
  </si>
  <si>
    <t>Mise en œuvre d'une politique d'assurance qualité; programmes offerts sous le format LMD</t>
  </si>
  <si>
    <t>Enseignants et responsables pédagogiques</t>
  </si>
  <si>
    <t xml:space="preserve">Directeur CIAQ </t>
  </si>
  <si>
    <t>3.3.1.2</t>
  </si>
  <si>
    <t xml:space="preserve">Formation des responsables pédagogiques (PER) et des chefs des services pédagogiques  (PATS) 
</t>
  </si>
  <si>
    <t>3.3.1.3</t>
  </si>
  <si>
    <t xml:space="preserve">Acquisition de ressources documentaires ou informatiques dans le domaine de la qualité </t>
  </si>
  <si>
    <t>3.3.1.4</t>
  </si>
  <si>
    <t>frais liés à la formation du personnel de l’UADB en assurance-qualité</t>
  </si>
  <si>
    <t>3.3.2. Développer des activités et des programmes en assurance qualité</t>
  </si>
  <si>
    <t>3.3.2.1</t>
  </si>
  <si>
    <t>Dépôt dossier CAMES</t>
  </si>
  <si>
    <t>DRH</t>
  </si>
  <si>
    <t>Directeur CIAQ</t>
  </si>
  <si>
    <t>3.3.2.2</t>
  </si>
  <si>
    <t>Formation en assurance qualité  dans une université étrangère ou participation à l'étranger à des séminaires et/ou à des visites  - Billets d'avion, frais d'hotel, frais de séjour, assurance, etc</t>
  </si>
  <si>
    <t>Mise en œuvre d'une politique d'assurance qualité</t>
  </si>
  <si>
    <t>Responsable cellule Qualité</t>
  </si>
  <si>
    <t>3.3.2.3</t>
  </si>
  <si>
    <t>Réunions trimestrielles de la cellule qualité (transport, pause-café, restauration et production etc.)</t>
  </si>
  <si>
    <t>Cellule Qualité</t>
  </si>
  <si>
    <t>cellule qualité</t>
  </si>
  <si>
    <t>3.3.2.4</t>
  </si>
  <si>
    <t>Crédit téléphone</t>
  </si>
  <si>
    <t>Cellule Qualité fonctionnelle</t>
  </si>
  <si>
    <t>3.3.2.5</t>
  </si>
  <si>
    <t>Impression de documents liés à la qualité</t>
  </si>
  <si>
    <t>BAIO et cellule qualité</t>
  </si>
  <si>
    <t>VRE + Directeur CIAQ+Responsable BAIO</t>
  </si>
  <si>
    <t>3.3.2.6</t>
  </si>
  <si>
    <t>Impression et publication de supports de communication (kakémono, banderoles, chemises etc. sur l'assurance qualité et le LMD)</t>
  </si>
  <si>
    <t>supports de communication disponibles</t>
  </si>
  <si>
    <t>cellule qualité, commission LMD et BAIO</t>
  </si>
  <si>
    <t>VRE + Directeur CIAQ et responsable commission LMD</t>
  </si>
  <si>
    <t>3.3.2.7</t>
  </si>
  <si>
    <t>Publireportage sur la qualité et le LMD: frais de communication, transport, production, frais de reportage, etc</t>
  </si>
  <si>
    <t>publireportage effectué</t>
  </si>
  <si>
    <t xml:space="preserve">VRE + Directeur CIAQ </t>
  </si>
  <si>
    <t>3.3.2.8</t>
  </si>
  <si>
    <t>Matériel informatique et consommables de bureau pour la CIAQ et la commission LMD</t>
  </si>
  <si>
    <t>consommables de bureau acquis</t>
  </si>
  <si>
    <t xml:space="preserve"> Directeur CIAQ </t>
  </si>
  <si>
    <t>3.3.2.9</t>
  </si>
  <si>
    <t>Atelier d'élaboration et de validation d'un manuel de qualité</t>
  </si>
  <si>
    <t>manuel élaboré et validé</t>
  </si>
  <si>
    <t>3.3.2.10</t>
  </si>
  <si>
    <t xml:space="preserve">Mise en ligne et frais de traitement des fiches d'évaluation des enseignements, des fiches d'accueil des nouveaux bacheliers, des enquêtes et sondages etc : consultants, consultants à temps partiel: transport, production, déjeuner, pause- café, frais de communication, frais d'opérations de saisie, etc:    </t>
  </si>
  <si>
    <t>activités non planifiées pour 2016</t>
  </si>
  <si>
    <t>pas de budget pour 2016 et reliquat réalloué</t>
  </si>
  <si>
    <t>3.3.2.11</t>
  </si>
  <si>
    <t>Achat de carburant</t>
  </si>
  <si>
    <t>3.3.2.12</t>
  </si>
  <si>
    <t xml:space="preserve">Mise en place de la cellule (équipement, documentation, etc.) </t>
  </si>
  <si>
    <t>pas de budget pour 2016, cellule déjà mise en place</t>
  </si>
  <si>
    <t>3.3.2.13</t>
  </si>
  <si>
    <t xml:space="preserve">Formation des membres de la cellule </t>
  </si>
  <si>
    <t>pas de budget pour 2016</t>
  </si>
  <si>
    <t>3.3.2.14</t>
  </si>
  <si>
    <t xml:space="preserve">Activités et programmes en assurance qualité (évaluation des enseignements, évaluation de la satisfaction des étudiants, activités liées à la soumission de dossiers d‘accréditations vis-à-vis de l’ANAQ ou du CAMES, etc.) </t>
  </si>
  <si>
    <t>3.3.2.15</t>
  </si>
  <si>
    <t>Mobilier et matériel de bureau</t>
  </si>
  <si>
    <t>Sous-total Objectif 3</t>
  </si>
  <si>
    <t>OBJECTIF 4 : AMELIORATION DES RELATIONS AVEC LE MONDE DU TRAVAIL</t>
  </si>
  <si>
    <t>ALLOCATIONS 2016 DU CDP</t>
  </si>
  <si>
    <t>COUTS PREVISIONNELS  2016</t>
  </si>
  <si>
    <t xml:space="preserve"> COUTS PREVISIONNELS  2017</t>
  </si>
  <si>
    <t>4.1.1  Appui aux activités et  programmes de la cellule Université / Entreprise</t>
  </si>
  <si>
    <t>4.1.1.1</t>
  </si>
  <si>
    <t>carburant</t>
  </si>
  <si>
    <t>janv-dec 16</t>
  </si>
  <si>
    <t>Bon déroulement des activités de la cellule avec facilitation des déplacements</t>
  </si>
  <si>
    <t>Responsable cellule, VRIREP, Directeurs d'UFR, Points référents UFR, Responsables de formation, Responsables pédagogiques, membres de la cellule</t>
  </si>
  <si>
    <t>VRIREP</t>
  </si>
  <si>
    <t>4.1.1.2</t>
  </si>
  <si>
    <t>Téléphone</t>
  </si>
  <si>
    <t>Dispositif de communication mis en place pour faciliter l'opérationnalisation des activités de la cellule université/Entreprise</t>
  </si>
  <si>
    <t>membres et collaborateurs de la  cellule</t>
  </si>
  <si>
    <t>4.1.1.3</t>
  </si>
  <si>
    <t>Frais d'organisation pour rencontres alumni</t>
  </si>
  <si>
    <t>avril-dec-16</t>
  </si>
  <si>
    <t>rencontres alumni tenues</t>
  </si>
  <si>
    <t>CUE, VRIREP, alumni</t>
  </si>
  <si>
    <t>4.1.1.4</t>
  </si>
  <si>
    <t>Atelier de la revue des outils du cadre professionalisant (stages, types de rapport, accompagnement)</t>
  </si>
  <si>
    <t>Production de documents décrivant le stage réadaptés, validés et connus par tous les acteurs</t>
  </si>
  <si>
    <t>Responsable cellule, VRIREP, Directeurs d'UFR, Points référents UFR, Responsables de formation, Responsables pédagogiques</t>
  </si>
  <si>
    <t xml:space="preserve">Responsable des conventions </t>
  </si>
  <si>
    <t>4.1.1.5</t>
  </si>
  <si>
    <t>Rencontres bihebdomadaires</t>
  </si>
  <si>
    <t>Janv- Déc 2016</t>
  </si>
  <si>
    <t>Plannings revisés et validés, recueil de la restitution des activités, difficultés opérationnelles prises en charges</t>
  </si>
  <si>
    <t>Responsable CELLULE</t>
  </si>
  <si>
    <t>4.1.1.6</t>
  </si>
  <si>
    <t>Participation aux cérémonies de l'entreprise ( salon, forum, foire, etc.)</t>
  </si>
  <si>
    <t>l'offre de formation et atouts de l'UADB vulgarisés</t>
  </si>
  <si>
    <t xml:space="preserve"> Directeurs d'UFR, Points référents UFR</t>
  </si>
  <si>
    <t>4.1.1.7</t>
  </si>
  <si>
    <t>Aménagement de l'espace d'accueil de la cellule université-entreprise</t>
  </si>
  <si>
    <t>espaces d'accueil des étudiants pour leur insertion aménagés</t>
  </si>
  <si>
    <t>SPM, Responsable de la CUE,  Responsable du domaine, le VRIREP</t>
  </si>
  <si>
    <t>4.1.1.8</t>
  </si>
  <si>
    <t>Acquisition de matériel et mobilier de bureau, d'ordinateurs portables, de 2 disques durs externes et d'une télévision ultraplate pour la diffusion de l'information et de 2 fontaines</t>
  </si>
  <si>
    <t>Bureau de la CUE mieux équipé</t>
  </si>
  <si>
    <t>4.1.1.9</t>
  </si>
  <si>
    <t xml:space="preserve">Acquisition d'une photocopieuse </t>
  </si>
  <si>
    <t>4.1.1.10</t>
  </si>
  <si>
    <t>Achat d'ouvrages sur les techniques de stages et d'insertion</t>
  </si>
  <si>
    <t>ouvrages disponibles pour les étudiants</t>
  </si>
  <si>
    <t>cellule, Etudiants, BU</t>
  </si>
  <si>
    <t>4.1.1.11</t>
  </si>
  <si>
    <t>Séances de travaux ou signatures des conventions avec organisations socio-économiques</t>
  </si>
  <si>
    <t>conventions signées planifiant des postes de stages ou d'emploi pour les étudiants</t>
  </si>
  <si>
    <t>Recteur, VRIREP, responsables de formaions, responsables de la cellule, responsable des conventions</t>
  </si>
  <si>
    <t>4.1.1.12</t>
  </si>
  <si>
    <t>Missions de Benchmarking</t>
  </si>
  <si>
    <t>Découvertes de nouvelles approches et méthodes ou outils de gestion des activités des liens entre l'université et le monde socio économique</t>
  </si>
  <si>
    <t xml:space="preserve">Responsable de la cellule Université/Entreprises et autres membres de la cellule </t>
  </si>
  <si>
    <t>4.1.1.13</t>
  </si>
  <si>
    <t xml:space="preserve">Edition de support de communication (guide du stagiaire, flyer, spot, gadgets, etc) </t>
  </si>
  <si>
    <t>Activités de la professionnalisation et de l'IP mieux connnus</t>
  </si>
  <si>
    <t>UFR, Responsable Cellule, VRIREP</t>
  </si>
  <si>
    <t>4.1.1.14</t>
  </si>
  <si>
    <t>Mise en place d'une base de données d'entreprises (achat d'un  fichier contenant les contacts de 500 entreprises, mise à jour du fichier par  2 personnes pendant 2 mois).</t>
  </si>
  <si>
    <t>Base de données d'entreprise disponibles et collaboration établie avec entreprises permettant le placement des étudiants en stage et l'IP, le renforcement de l'intervention des professionnels dans la pédagogie</t>
  </si>
  <si>
    <t xml:space="preserve">Responsable cellule, VRIREP, Points référents UFR, Responsables de formation, </t>
  </si>
  <si>
    <t>4.1.1.15</t>
  </si>
  <si>
    <t xml:space="preserve">Création et rencontres du réseau des organisations socio-économiques Partenaires de l'UADB (ROSEP-UADB) </t>
  </si>
  <si>
    <t>Disposer d'un réseau d'entreprises ou d'organisations socio-économiques appuyant la réalisation du projet des formations professionnelles de l'UADB et l'insertion des étudiants</t>
  </si>
  <si>
    <t>Recteur, Vice-Recteurs, Responsables de la cellule et Chefs ou Directeurs des organisations socio-économique</t>
  </si>
  <si>
    <t>4.1.1.16</t>
  </si>
  <si>
    <t>Développement d'un module de gestion des activités de la cellule des stages ou des liens avec le monde du travail</t>
  </si>
  <si>
    <t>interface numérique entre professionnel, étudiants, CUE, responsable de formation disponible</t>
  </si>
  <si>
    <t>Responsable cellule, CRI, Responsable convention, Responsable MAENUC, Responsable Projet incubateur</t>
  </si>
  <si>
    <t>4.1.1.17</t>
  </si>
  <si>
    <t xml:space="preserve">Visites d'entreprises et Sorties pédagogiques </t>
  </si>
  <si>
    <t>Entreprises et programmes professionnels connnus et possibilités de stage découverts en vue de remplir les objectifs de la formation</t>
  </si>
  <si>
    <t>Etudiants, PER, Cellule Université/ Entreprise</t>
  </si>
  <si>
    <t>Responsable de formation</t>
  </si>
  <si>
    <t>4.1.1.18</t>
  </si>
  <si>
    <t>Maintenance et réparation des bus</t>
  </si>
  <si>
    <t>Janv - Déc 2016</t>
  </si>
  <si>
    <t>Bus fonctionnels</t>
  </si>
  <si>
    <t>chauffeurs, chef de service du domaine, VRIREP, Recteur</t>
  </si>
  <si>
    <t>Responsable du Domaine</t>
  </si>
  <si>
    <t>4.1.1.19</t>
  </si>
  <si>
    <t>Ateliers de renforcement de capacité aux responsables de formations sur les procédures  CDP et de production des documents opérationnels des UFRs</t>
  </si>
  <si>
    <t>juillet-dec-16</t>
  </si>
  <si>
    <t>procédures CDP maîtrisés et actions dans les UFR déroulés sans hésiations dans les propositions des UFRs</t>
  </si>
  <si>
    <t>Responsables de formation, UG du CDP et membres permanents de la cellule</t>
  </si>
  <si>
    <t>4.1.1.20</t>
  </si>
  <si>
    <t>Rencontres membres cellules et chefs d'organisation socio-économique</t>
  </si>
  <si>
    <t>postes de stage et d'emploi trouvés</t>
  </si>
  <si>
    <t>Responsable cellule, VRIREP, Directeurs d'UFR, Points référents UFR, Responsables de formation</t>
  </si>
  <si>
    <t>4.1.1.21</t>
  </si>
  <si>
    <t>Rencontres techniques avec les entreprises pour la préparation, le placement ou le suivi des stages</t>
  </si>
  <si>
    <t>l'offre de formation partagée avec le monde socio économique et possibilités de stages et stages mieux générés</t>
  </si>
  <si>
    <t>Point référent UFR</t>
  </si>
  <si>
    <t>4.1.1.22</t>
  </si>
  <si>
    <t>Aménagement et équipement grandes bâches</t>
  </si>
  <si>
    <t>Dec-16</t>
  </si>
  <si>
    <t>grandes bâches fonctionnelles</t>
  </si>
  <si>
    <t>4.1.1.23</t>
  </si>
  <si>
    <t>Acquisition de matériel et équipement pour la  mise en place  de la radio de la CUE</t>
  </si>
  <si>
    <t>Radio de la cellule Université-Entreprise fonctionnelle</t>
  </si>
  <si>
    <t>4.1.1.24</t>
  </si>
  <si>
    <t>Fora d'entreprise</t>
  </si>
  <si>
    <t>forum réalisé sous le format de rencontre entre étudiants, PER et monde socio-professionnels avec des présentations de l'entreprise</t>
  </si>
  <si>
    <t>4.1.1.25</t>
  </si>
  <si>
    <t xml:space="preserve"> recrutement de vacataires er de consultants pour le développements des activités de la CUE (mise place de bases de données et élaboration ou  appui pour les études et  projets, etc)</t>
  </si>
  <si>
    <t>4.1.1 a</t>
  </si>
  <si>
    <t xml:space="preserve">Dispositif d'accompagnement des étudiants dans la recherche et le déroulement de stages 
</t>
  </si>
  <si>
    <t>4.1.1 b</t>
  </si>
  <si>
    <t>Forums d’entreprise, visites d’entreprise, sorties pédagogiques, rencontres techniques etc.</t>
  </si>
  <si>
    <t>4.1.2 Renforcement de la participation des professionnels (dans la conception des programmes et les activités d'enseignement)</t>
  </si>
  <si>
    <t>4.1.2.1</t>
  </si>
  <si>
    <t>Atelier de révision  et de conception de programmes de formation professionnelle 1</t>
  </si>
  <si>
    <t>Programmes de formation professionnelle revisés et conçus</t>
  </si>
  <si>
    <t>Assurance qualité, LMD, UFR,VRE, Directeurs d'UFR</t>
  </si>
  <si>
    <t>4.1.2.2</t>
  </si>
  <si>
    <t>Atelier d'évaluation et de conception de programmes de formation professionnelle 1</t>
  </si>
  <si>
    <t>Programmes de formation professionnelle évalués et conçus</t>
  </si>
  <si>
    <t>4.1.2.3</t>
  </si>
  <si>
    <t>Atelier d'évaluation et de conception de programmes de formation professionnelle 2</t>
  </si>
  <si>
    <t xml:space="preserve">Programmes de formation professionnelle 2 conçus et évalués </t>
  </si>
  <si>
    <t>4.1.2.4</t>
  </si>
  <si>
    <t>Atelier de révision  et de conception de programmes de formation professionnelle 2</t>
  </si>
  <si>
    <t>programmes de formation professionnelle revisés et conçus</t>
  </si>
  <si>
    <t>4.1.2.5</t>
  </si>
  <si>
    <t xml:space="preserve">Prise en charge des professionnels intervenant dans les enseignements (Rémunération, frais de transport et de séjours) </t>
  </si>
  <si>
    <t>Janv- Déc 16</t>
  </si>
  <si>
    <t>professionnalisation des enseignements renforcée</t>
  </si>
  <si>
    <t>UFR, Responsables de formation, VRE, Cellule</t>
  </si>
  <si>
    <t>4.1.2.6</t>
  </si>
  <si>
    <t>Achat de carburant pour faciliter les déplacements</t>
  </si>
  <si>
    <t>Déplacements facilités des professionnels, des intervenants externes etc.</t>
  </si>
  <si>
    <t>4.1.2.7</t>
  </si>
  <si>
    <t xml:space="preserve"> Ateliers de formation des professionnels  intervenant dans la pédagogie et de production de cours en ligne</t>
  </si>
  <si>
    <t>Pédagogie des professionnels renforcés</t>
  </si>
  <si>
    <t>VRE, Directeur d'UFR, Cellule</t>
  </si>
  <si>
    <t>4.1.2.8</t>
  </si>
  <si>
    <t>Formation complémentaire sur les nouveaux outils utilisés en entreprise, animée par des professionnels</t>
  </si>
  <si>
    <t>Janv - Déc 16</t>
  </si>
  <si>
    <t>Etudiants formés dans les nouveaux outils utilisés en entreprise</t>
  </si>
  <si>
    <t>Responsables de formation, étudiants, Professionnels</t>
  </si>
  <si>
    <t>4.1.2.9</t>
  </si>
  <si>
    <t>Prise en charge des intervenants professionnels, Formation complémentaire sur les nouveaux outils utilisés en entreprise animée par des professionnels</t>
  </si>
  <si>
    <t>4.2.1 Formations  dédiées à la professionnalisation</t>
  </si>
  <si>
    <t>4.2.1.1</t>
  </si>
  <si>
    <t>Projets opérationnels 
type classique / service learning</t>
  </si>
  <si>
    <t>Projets opérationnels présentés</t>
  </si>
  <si>
    <t>Cellule, UFR, étudiants</t>
  </si>
  <si>
    <t>4.2.1.2</t>
  </si>
  <si>
    <t>Projets professionnels personnalisés (PPP) et leadership</t>
  </si>
  <si>
    <t>Etudiants formés en PPP</t>
  </si>
  <si>
    <t>4.2.1.3</t>
  </si>
  <si>
    <t>Technique de recherche de stages (cv, lettre de motivation), le déroulement du stage, de rédaction du rapport de stage</t>
  </si>
  <si>
    <t>Janv-Déc 16</t>
  </si>
  <si>
    <t>Etudiants formés en techniques de recherche de stages</t>
  </si>
  <si>
    <t>4.2.1.4</t>
  </si>
  <si>
    <t>Conférences ou réunions sur les problématiques de l'insertion</t>
  </si>
  <si>
    <t>sept-dec 16</t>
  </si>
  <si>
    <t>problématiques de l'insertion mieux connue</t>
  </si>
  <si>
    <t>4.2.1.5</t>
  </si>
  <si>
    <t xml:space="preserve">Sessions d'élaboration pratique des projets de création d'entreprise </t>
  </si>
  <si>
    <t>Etudiants incités et formés dans la pratique de mise en œuvre d'une étude de création d'entreprise</t>
  </si>
  <si>
    <t xml:space="preserve"> VRIREP, Etudiants, Responsable MAENUC</t>
  </si>
  <si>
    <t>Responsable MAENUC</t>
  </si>
  <si>
    <t>4.2.1.6</t>
  </si>
  <si>
    <t>Foires aux projets et brainstorming</t>
  </si>
  <si>
    <t>Esprit entrepreneurial mieux développé chez les étudiants</t>
  </si>
  <si>
    <t>4.2.1.7</t>
  </si>
  <si>
    <t>Journées de l'insertion</t>
  </si>
  <si>
    <t>Insertion des étudiants facilités</t>
  </si>
  <si>
    <t>4.2.1.8</t>
  </si>
  <si>
    <t>MAENUC et concours de création d'entreprises</t>
  </si>
  <si>
    <t>4.2.1.8.1</t>
  </si>
  <si>
    <t>Frais de préparation et d'organisation de la cérémonie de clôture Edition 3  et 4
Restauration : 1 300 000 (coktail et déjeuner)
Communication : 580 000
trophées : 3*40 000 = 120 000</t>
  </si>
  <si>
    <t>4.2.1.8.2</t>
  </si>
  <si>
    <t xml:space="preserve">Appui aux enquêtes, réunions des groupes d'étudiants : Sessions d'élaboration pratique des projets de création d'entreprise 
subventions de 100 000*12 équipes
</t>
  </si>
  <si>
    <t>4.2.1.8.3</t>
  </si>
  <si>
    <t>Recrutement d'un consultant expert conseil coaching 
montant du contrat couvrant la durée du concours = 2 000 000F</t>
  </si>
  <si>
    <t>4.2.1.8.4</t>
  </si>
  <si>
    <t>5 conférences</t>
  </si>
  <si>
    <t>4.2.1.8.5</t>
  </si>
  <si>
    <t xml:space="preserve">Frais d'organisation et de production des réunions de Jury experts 
</t>
  </si>
  <si>
    <t>4.2.1.8.6</t>
  </si>
  <si>
    <t>Récompenses des 3 meilleurs projets Edition 3 et Edition 4</t>
  </si>
  <si>
    <t>4.2.1.8.7</t>
  </si>
  <si>
    <t xml:space="preserve">Frais d'appui aux réunions de coordination et rencontres périodiques préparatoires des cérémonies officielles  Edition 3
</t>
  </si>
  <si>
    <t>4.2.1.8.8</t>
  </si>
  <si>
    <t xml:space="preserve">Séminaire d'évaluation et de planification  (2 jours)    </t>
  </si>
  <si>
    <t>4.2.1.8.9</t>
  </si>
  <si>
    <t xml:space="preserve">tutorat membres comité de pilotage et comité scientifique pour préparation finale
</t>
  </si>
  <si>
    <t>4.2.1.8.10</t>
  </si>
  <si>
    <t xml:space="preserve">Tests de personnalité </t>
  </si>
  <si>
    <t>4.2.1.9</t>
  </si>
  <si>
    <t>Participations aux compétitions sur les présentations de projets</t>
  </si>
  <si>
    <t>Visibilité accrue des étudiants de l'UADB quant à l'élaboration et la présentation de projets</t>
  </si>
  <si>
    <t>4.2.1.10</t>
  </si>
  <si>
    <t>accompagnement des alumnis du MAENUC</t>
  </si>
  <si>
    <t>Mai-Dec 2016</t>
  </si>
  <si>
    <t>procesus de mise en place bien définis ou enclenché</t>
  </si>
  <si>
    <t>VRIREP, Alumni MAENUC, partenaires</t>
  </si>
  <si>
    <t>4.2.1.11</t>
  </si>
  <si>
    <t>Organisation du MAENUC (concours de création d’entreprise), formation sur les techniques de recherche de stages</t>
  </si>
  <si>
    <t>Sous-total objectif 4 :</t>
  </si>
  <si>
    <t>OBJECTIF 5 : AMELIORATION DE LA GOUVERNANCE</t>
  </si>
  <si>
    <t>COUT  PREV 2016</t>
  </si>
  <si>
    <t>5.1.1 Mise en place et fonctionnement du Conseil d'Administration</t>
  </si>
  <si>
    <t>5.1.1.1</t>
  </si>
  <si>
    <t xml:space="preserve">Organisation de missions de benchmarking (collecte de textes juridiques, mission au CA de l'Université de Thiès) </t>
  </si>
  <si>
    <t>Expériences dans les universités étrangères partagées et capitalisées, CA fonctionnel</t>
  </si>
  <si>
    <t xml:space="preserve">chefs de services, directeurs d'UFR,  VRE, VRIREP, </t>
  </si>
  <si>
    <t>Assistante Recteur</t>
  </si>
  <si>
    <t>5.1.1.2</t>
  </si>
  <si>
    <t>Communication sur le Conseil d'Administration (Support de com, Spots TV et Radio, crédit téléphone, etc.)</t>
  </si>
  <si>
    <t>Meilleure visibilité du CA et de son mode de fonctionnement</t>
  </si>
  <si>
    <t>5.1.1.3</t>
  </si>
  <si>
    <t>Missions de contact des membres externes du CA</t>
  </si>
  <si>
    <t>CA fonctionnel</t>
  </si>
  <si>
    <t>5.1.1.4</t>
  </si>
  <si>
    <t>Organisation de 02 sessions</t>
  </si>
  <si>
    <t>chefs de services, directeurs d'UFR,  VRE, VRIREP</t>
  </si>
  <si>
    <t>5.1.1.5</t>
  </si>
  <si>
    <t>organisation de rencontres de partage des nouveaux textes (ateliers, réunions etc.)</t>
  </si>
  <si>
    <t>Meilleure appropriation des textes</t>
  </si>
  <si>
    <t>5.1.1.6</t>
  </si>
  <si>
    <t>Mission de Benchmarking à l'étranger</t>
  </si>
  <si>
    <t>5.1.1.7</t>
  </si>
  <si>
    <t>Atelier de  partage et d'imprégnation  sur les documents de planification de l'UADB (Plan stratégique, CDP et Manuel de procédures) à l'intention des membres du CA.</t>
  </si>
  <si>
    <t>5.1.2 Mise en conformité des organes de l'université avec la nouvelle loi sur les universités</t>
  </si>
  <si>
    <t>5.1.2.1</t>
  </si>
  <si>
    <t xml:space="preserve">Organisation de 02 sessions du Conseil académique </t>
  </si>
  <si>
    <t>Organes de l'université conformes à la nouvelle loi</t>
  </si>
  <si>
    <t>5.1.2.2</t>
  </si>
  <si>
    <t>Atelier d’information et préparatoire du Conseil académique (CA) Sessions ordinaires du CA (documentation, restauration etc.)</t>
  </si>
  <si>
    <t>5.1.2.3</t>
  </si>
  <si>
    <t>communication sur les organes de gouvernance ( conseil académique Conseil d'Administration (Support de com, Spots TV et Radio, crédit téléphone, etc.)</t>
  </si>
  <si>
    <t xml:space="preserve">5.1.3 Mise en place d’un dispositif de gestion budgétaire en conformité avec la nouvelle loi organique relative aux lois de finances et renforcement de capacités des acteurs </t>
  </si>
  <si>
    <t>5.1.3.1</t>
  </si>
  <si>
    <t>sessions de formation des directeurs centraux,  des directeurs d'UFR et chefs de service, du personnel des finances et missions d'échanges et d'imprégnation</t>
  </si>
  <si>
    <t>5.1.3.2</t>
  </si>
  <si>
    <t>mission de benchmarking des responsables de l'élaboration et de l'exécution du budget et du responsable de l'objectif d'amélioration de la gouvernance de l'institution</t>
  </si>
  <si>
    <t>5.1.3.3</t>
  </si>
  <si>
    <t>Acquisition d’un logiciel complet de gestion comptable et financière (y compris comptabilité matières, marchés, etc.) et formation des utilisateurs</t>
  </si>
  <si>
    <t>5.1.3.4</t>
  </si>
  <si>
    <t>Bilan des actifs immobiliers de l’institution</t>
  </si>
  <si>
    <t>5.2.1 Renforcement de l’équipe de gestion du CDP</t>
  </si>
  <si>
    <t xml:space="preserve">5.2.1 .1 </t>
  </si>
  <si>
    <t>Prise en charge du spécialiste en suivi-évaluation</t>
  </si>
  <si>
    <t>Équipe de gestion du CDP renforcée</t>
  </si>
  <si>
    <t>coordonnateur CDP, comptable CDP, Responsable S&amp;E</t>
  </si>
  <si>
    <t>Directeur scolarité</t>
  </si>
  <si>
    <t>5.2.2 Sessions de formation du personnel dans la gestion du CDP</t>
  </si>
  <si>
    <t>5.2.2.1</t>
  </si>
  <si>
    <t>Organisation de sessions  de formation sur la gestion du CDP</t>
  </si>
  <si>
    <t>CDP mieux géré</t>
  </si>
  <si>
    <t xml:space="preserve">Agent administratif scolarité </t>
  </si>
  <si>
    <t>5.2.3 Activités pour la revue interne de la mise en œuvre du CDP (séminaires, ateliers, édition d'un bulletin semestriel…)</t>
  </si>
  <si>
    <t>5.2.3.1</t>
  </si>
  <si>
    <t>Organisation de réunions de l'unité de gestion du CDP</t>
  </si>
  <si>
    <t>janv-dec-16</t>
  </si>
  <si>
    <t>activités revues</t>
  </si>
  <si>
    <t>Equipe unité de gestion</t>
  </si>
  <si>
    <t>Resp revue interne</t>
  </si>
  <si>
    <t>5.2.3.2</t>
  </si>
  <si>
    <t>Carburant Unité de Gestion</t>
  </si>
  <si>
    <t>carburant acquis</t>
  </si>
  <si>
    <t>5.2.3.3</t>
  </si>
  <si>
    <t>Organisation de réunions du comité de pilotage du CDP de l'UADB</t>
  </si>
  <si>
    <t>Réunions tenues</t>
  </si>
  <si>
    <t>Equipe unité de gestion et comité de pilotage</t>
  </si>
  <si>
    <t>5.2.3.4</t>
  </si>
  <si>
    <t>Organisation de revues internes du CDP de l'UADB</t>
  </si>
  <si>
    <t xml:space="preserve">Revues organisées </t>
  </si>
  <si>
    <t>5.2.3.5</t>
  </si>
  <si>
    <t>Abonnement à un RPE et acquisition de cartes de téléphone</t>
  </si>
  <si>
    <t>janv-dec-15</t>
  </si>
  <si>
    <t>RPE fonctionnel</t>
  </si>
  <si>
    <t>Equipe unité de gestion, responsables objectif et action</t>
  </si>
  <si>
    <t>5.2.3.6</t>
  </si>
  <si>
    <t>Activités de suivi-évaluation: enquêtes de renseignement des indicateurs</t>
  </si>
  <si>
    <t>indicateurs renseignés</t>
  </si>
  <si>
    <t>Resp suivi-évaluation</t>
  </si>
  <si>
    <t>5.2.3.7</t>
  </si>
  <si>
    <t xml:space="preserve">Ateliers internes et externes de conception, production et diffusion de la revue semestrielle du CDP (2 numéros, et frais des réunions du comité de rédaction) </t>
  </si>
  <si>
    <t>2 numéros de la revue semestrielle publiés</t>
  </si>
  <si>
    <t>5.2.3.8</t>
  </si>
  <si>
    <t xml:space="preserve">Production et diffusion de la revue semestrielle du CDP (2 numéros) </t>
  </si>
  <si>
    <t>3 numéros de la revue semestrielle publiés</t>
  </si>
  <si>
    <t>5.2.3.9</t>
  </si>
  <si>
    <t>Frais  de gestion bancaire et chéquier</t>
  </si>
  <si>
    <t>4 chéquiers disponibles</t>
  </si>
  <si>
    <t>chéquiers disponibles, UADB en règle au niveau de la Banque</t>
  </si>
  <si>
    <t>Comptable CDP</t>
  </si>
  <si>
    <t>5.2.3.10</t>
  </si>
  <si>
    <t>Ateliers internes de l'objectif 5</t>
  </si>
  <si>
    <t>Janv-dec-16</t>
  </si>
  <si>
    <t>ateliers tenus, l'objectif plus performant</t>
  </si>
  <si>
    <t>Equipe objectif 5</t>
  </si>
  <si>
    <t>5.2.3.11</t>
  </si>
  <si>
    <t>Ateliers et rencontres de mise à jour du plan stratégique de l'UADB</t>
  </si>
  <si>
    <t>plan stratégique de l'UADB à jour, disponible</t>
  </si>
  <si>
    <t>Equipe objectif 5, coordonnateur CDP, SPM</t>
  </si>
  <si>
    <t>5.2.3.12</t>
  </si>
  <si>
    <t>Acquisition de matériel de communication pour le CDP</t>
  </si>
  <si>
    <t>matériel  de communication acquis</t>
  </si>
  <si>
    <t>5.2.3.13</t>
  </si>
  <si>
    <t>Acquisition de cartes de crédit</t>
  </si>
  <si>
    <t>responsable d'action, responsable d'objectif</t>
  </si>
  <si>
    <t>5.2.3.14</t>
  </si>
  <si>
    <t>Acquisition de Fournitures  de bureau et consommables informatiques</t>
  </si>
  <si>
    <t>Fournitures  de bureau et consommables informatiques disponibles</t>
  </si>
  <si>
    <t>Cellule de passation des marchés</t>
  </si>
  <si>
    <t>5.2.3.15</t>
  </si>
  <si>
    <t>Mobilier de bureau</t>
  </si>
  <si>
    <t>Mobilier de bureau disponible</t>
  </si>
  <si>
    <t>5.2.3.16</t>
  </si>
  <si>
    <t>Acquisition de matériel informatique (ordinateurs portables Mac air)</t>
  </si>
  <si>
    <t>niveau d'équipement informatique renforcé</t>
  </si>
  <si>
    <t>5.2.3.17</t>
  </si>
  <si>
    <t>Recrutement d'un consultant pour la finalisation du manuel de procédures de l'UADB</t>
  </si>
  <si>
    <t>activité exécutée et reliquat du budget réalloué</t>
  </si>
  <si>
    <t>5.2.3.18</t>
  </si>
  <si>
    <t>Organisation de réunions de l’unité de gestion, du comité de pilotage, ateliers internes et résidentiels du CDP (élaboration du plan d’actions, spécifications techniques, …), activités de suivi-évaluation (enquêtes et traitement de données)</t>
  </si>
  <si>
    <t>5.3.1 Sessions de formation du personnel dans la gestion du LMD ("Gérer et administrer autrement")</t>
  </si>
  <si>
    <t>5.3.1.1</t>
  </si>
  <si>
    <t>Organisation de sessions de formation sur le LMD</t>
  </si>
  <si>
    <t>sessions de formation organisées</t>
  </si>
  <si>
    <t>PATS, Equipe unité de gestion</t>
  </si>
  <si>
    <t>5.4.1 Mettre en place un système de production et de gestion de cartes d’étudiants multi-applicatives (accès aux services, contrôle, etc.)</t>
  </si>
  <si>
    <t>5.4.1.1.</t>
  </si>
  <si>
    <t>Frais de maintenance annuelle du SGCM</t>
  </si>
  <si>
    <t>SGCM fonctionnel</t>
  </si>
  <si>
    <t>Resp action , responsables pédagogiques, CPM</t>
  </si>
  <si>
    <t>Responsable pédagogique SATIC</t>
  </si>
  <si>
    <t>5.4.1.2</t>
  </si>
  <si>
    <t>Acquisition de matériel et consommables informatique pour extension SGCM dans les centres</t>
  </si>
  <si>
    <t>système fonctionnel</t>
  </si>
  <si>
    <t>5.4.1.3</t>
  </si>
  <si>
    <t>Formation à l'étranger de l'administrateur du SGCM (Transfert de Compétences)</t>
  </si>
  <si>
    <t>Administrateur formé</t>
  </si>
  <si>
    <t>Resp action ,CRI, directeurs scolarité</t>
  </si>
  <si>
    <t>5.4.1.4</t>
  </si>
  <si>
    <t xml:space="preserve">Acquisition de 2  Ordinateurs  portables surface Pro 4 (SD 512 GB Windows 10 Core  I 7   16 GB RAM + carte graphique Dimension 12.30 x 9.14 pouces x 0.51  -0,90 pouces)
</t>
  </si>
  <si>
    <t>SGCM Performant</t>
  </si>
  <si>
    <t>Resp action , directeurs scolarité</t>
  </si>
  <si>
    <t>5.4.1.5</t>
  </si>
  <si>
    <t>Acquisition de licences pour le SGCM</t>
  </si>
  <si>
    <t>Matériel informatique acquis</t>
  </si>
  <si>
    <t>Resp action , CRI,CPM</t>
  </si>
  <si>
    <t>5.4.1.6</t>
  </si>
  <si>
    <t>Acquisition de cartes d'étudiant pré-imprimées et accessoires</t>
  </si>
  <si>
    <t>Dec-17</t>
  </si>
  <si>
    <t>cartes d'étudiant pré-imprimées et accessoires disponibles</t>
  </si>
  <si>
    <t>5.4.1.7</t>
  </si>
  <si>
    <t>Extension du système des cartes d’étudiants multi-applicatives sur les autres sites de l’UADB (Ngoundiane, Diourbel) et Acquisition de cartes d'étudiant pré-imprimées et accessoires</t>
  </si>
  <si>
    <t>5.4.2.1</t>
  </si>
  <si>
    <t>Actions et activités (ateliers, séminaire, sessions de correction groupée sensibilisation, communication, etc.) pour permettre de normaliser le calendrier académique</t>
  </si>
  <si>
    <t>dispositif mis en place, arrêt des inscriptions effectif une semaine avant le début des cours</t>
  </si>
  <si>
    <t>Resp action , responsables pédagogiques, directeurs d'UFR, Direction scolarité</t>
  </si>
  <si>
    <t>Assistante Directeur scolarité</t>
  </si>
  <si>
    <t>5.4.2.2</t>
  </si>
  <si>
    <t>Mission de benchmarking à l'étranger de 2 agents de la scolarité</t>
  </si>
  <si>
    <t>Acquisitions de bonne pratiques</t>
  </si>
  <si>
    <t>5.4.2.3</t>
  </si>
  <si>
    <t>Recrutement de  4 tuteurs pour 4 mois à la scolarité (dec2015, Janv, Fev, Mars 2016)</t>
  </si>
  <si>
    <t>nouveaux bacheliers accueillis, orientés, inscriptions facilitées</t>
  </si>
  <si>
    <t>5.4.2.4</t>
  </si>
  <si>
    <t>Recrutement de  4 tuteurs pour 5 mois à la scolarité (octobre 2016 à février 2017)</t>
  </si>
  <si>
    <t>5.4.3.1</t>
  </si>
  <si>
    <t>Journée de déploiement du modem</t>
  </si>
  <si>
    <t>modem déployé</t>
  </si>
  <si>
    <t>Responsable pédagogique ECOMIJ</t>
  </si>
  <si>
    <t>5.4.3.2</t>
  </si>
  <si>
    <t>Journée de formation sur l'utilisation de GERAB avec le modem sms (consultant externe)</t>
  </si>
  <si>
    <t>utilisation de GERAB avec le modem sms mieux maîtrisée</t>
  </si>
  <si>
    <t>5.4.3.3</t>
  </si>
  <si>
    <t>Atelier de mise en place du connecteur GERAB-LMDPRO</t>
  </si>
  <si>
    <t>connecteur GERAB-LMDPRO mis en place</t>
  </si>
  <si>
    <t>5.4.3.4</t>
  </si>
  <si>
    <t>Mise en place de GERAB mobile (consultant)</t>
  </si>
  <si>
    <t>GERAB mobile mis en place</t>
  </si>
  <si>
    <t>5.4.3.5</t>
  </si>
  <si>
    <t>Atelier de déploiement de GERAB mobile</t>
  </si>
  <si>
    <t>GERAB mobile déployé</t>
  </si>
  <si>
    <t>5.4.3.6</t>
  </si>
  <si>
    <t>Achat de tablettes android pour les 3 chefs de service pédagogique pour l'utilisation de GERAB mobile</t>
  </si>
  <si>
    <t>Utilisation de GERAB mobile facilitée</t>
  </si>
  <si>
    <t>5.4.3.7</t>
  </si>
  <si>
    <t>Journée de formation sur GERAB mobile</t>
  </si>
  <si>
    <t>GERAB mobile mieux maîtrisé</t>
  </si>
  <si>
    <t>5.4.3.8</t>
  </si>
  <si>
    <t>Sensibilisation des étudiants sur GERAB</t>
  </si>
  <si>
    <t>étudiants sensibilisés sur GERAB</t>
  </si>
  <si>
    <t>5.4.3.9</t>
  </si>
  <si>
    <t>Achat de modem sms</t>
  </si>
  <si>
    <t>5.4.3.10</t>
  </si>
  <si>
    <t>Achat de crédit</t>
  </si>
  <si>
    <t>5.4.3.11</t>
  </si>
  <si>
    <t>Mission de benchmarking des 3 chefs de service pédégogique à l'étranger</t>
  </si>
  <si>
    <t>expériences dans les universités étrangères partagées et capitalisées</t>
  </si>
  <si>
    <t>5.4.3.12</t>
  </si>
  <si>
    <t>Mise en place d'outils de contrôle et de prélèvement des absences</t>
  </si>
  <si>
    <t>absences réduites</t>
  </si>
  <si>
    <t>5.4.3.13</t>
  </si>
  <si>
    <t>Mise en place d'outils de contrôle et de prélèvements des absences, finalisation du système d’information et d’alerte</t>
  </si>
  <si>
    <t>5.4.4 Mise en place d’un système de suivi des enseignements (cahier de textes électronique)</t>
  </si>
  <si>
    <t>5.4.4.1</t>
  </si>
  <si>
    <t>Mise en place d’un cahier de texte électronique (acquisition de matériel)</t>
  </si>
  <si>
    <t>5.5.1 Mise en œuvre d'une politique fundraising</t>
  </si>
  <si>
    <t>5.5.1.1</t>
  </si>
  <si>
    <t>Formation des membres de la cellule fundraising</t>
  </si>
  <si>
    <t>Membres de la cellule plus compétents</t>
  </si>
  <si>
    <t>membres de la cellule de levée de fonds; CRI; étudiants resp. communication</t>
  </si>
  <si>
    <t>Responsable cellule fundraising</t>
  </si>
  <si>
    <t>5.5.1.2</t>
  </si>
  <si>
    <t>Fonctionnement de la cellule fundraising</t>
  </si>
  <si>
    <t>cellule fundraising fonctionnelle</t>
  </si>
  <si>
    <t>membres de la cellule de levée de fonds; resp. communication</t>
  </si>
  <si>
    <t>5.5.1.3</t>
  </si>
  <si>
    <t>Ateliers de partage et de production par pôle</t>
  </si>
  <si>
    <t>5.5.1.4</t>
  </si>
  <si>
    <t>Recrutement de cabinet ou de consultant pour l'accompagnement de la cellule</t>
  </si>
  <si>
    <t>cellule accompagnée dans la recherche de fonds</t>
  </si>
  <si>
    <t>5.5.1.5</t>
  </si>
  <si>
    <t>Mission de benchmarking ou participation du responsable d'action à l'étranger</t>
  </si>
  <si>
    <t>Des expériences en fundraising partagées</t>
  </si>
  <si>
    <t>5.5.1.6</t>
  </si>
  <si>
    <t xml:space="preserve">Organisation des réunions de la cellule (production, transport, restauration) </t>
  </si>
  <si>
    <t>5.5.1.7</t>
  </si>
  <si>
    <t>Acquisition de carburant pour la cellule fundraising</t>
  </si>
  <si>
    <t>déplacements des membres de la cellule facilités</t>
  </si>
  <si>
    <t>5.5.1.8</t>
  </si>
  <si>
    <t>Achat de consommables Informatiques</t>
  </si>
  <si>
    <t>Consommables acquis</t>
  </si>
  <si>
    <t>Responsable obj 5, SPM,</t>
  </si>
  <si>
    <t>5.5.1.9</t>
  </si>
  <si>
    <t>Recrutement d'un étudiant vacataire pour la permanence de la cellule</t>
  </si>
  <si>
    <t>Permanence assurée</t>
  </si>
  <si>
    <t>5.5.2. Développer des actions de communication et des projets de convention sur les fontions de service</t>
  </si>
  <si>
    <t>5.5.2.1</t>
  </si>
  <si>
    <t xml:space="preserve">Insertion-presse, publi reportages en vue d'une meilleure vulgarisation des fonctions de service </t>
  </si>
  <si>
    <t>application disponible et fonctionnelle</t>
  </si>
  <si>
    <t>Directeur Centre Médical de Bambey (CMB)</t>
  </si>
  <si>
    <t>5.5.2.2</t>
  </si>
  <si>
    <t xml:space="preserve"> Edition de supports de communication interne (affiches, pochettes, flyers, dépliants, Tee-shirt, stylos, classeurs, sacs à l’effigie  des  fonctions de service etc.)  </t>
  </si>
  <si>
    <t>visibilité des fonctions de services accrue; recettes accrues</t>
  </si>
  <si>
    <t>5.5.2.3</t>
  </si>
  <si>
    <t>activités de Branding (acquisition et mise à jour de panneaux et enseignes lumineux, etc.)</t>
  </si>
  <si>
    <t>fonctions de service accrues ; recettes accrues </t>
  </si>
  <si>
    <t>Agents CMU et CDR, UFR, Responsable de la communication, VRIREP; LPCM, agents CMU et CDR, UFR, Responsable de la communication, resp communication</t>
  </si>
  <si>
    <t>5.5.2.4</t>
  </si>
  <si>
    <t>Atelier de formation sur l'extension du LMD PRO</t>
  </si>
  <si>
    <t>visibilité des fonctions de services accrues; recettes accrues</t>
  </si>
  <si>
    <t>domaine; cellule fundraising, resp. communication</t>
  </si>
  <si>
    <t>5.5.2.5</t>
  </si>
  <si>
    <t>Acquisition de Matériel Informatique et de communication</t>
  </si>
  <si>
    <t>5.5.2.6</t>
  </si>
  <si>
    <t>Frais de coordination (transport, téléphone, frais de réunion, restauration etc.)</t>
  </si>
  <si>
    <t>5.5.2.7</t>
  </si>
  <si>
    <t xml:space="preserve">Acquisition de carburant </t>
  </si>
  <si>
    <t>déplacements facilités</t>
  </si>
  <si>
    <t>Responsable Centre Médical de Bambey</t>
  </si>
  <si>
    <t>5.5.2.8</t>
  </si>
  <si>
    <t>Déploiement de l'application LMDPRO au Centre de Ressources de Dakar (frais de production, hébergement, restauration, etc…)</t>
  </si>
  <si>
    <t>reliquat budget 2015 réalloué</t>
  </si>
  <si>
    <t>Directeur Centre Médical, personnel Centre de ressources de Dakar</t>
  </si>
  <si>
    <t>5.5.2.9</t>
  </si>
  <si>
    <t xml:space="preserve">Activités de communication  signature projets de convention sur les fonctions de service </t>
  </si>
  <si>
    <t>Directeur Centre Médical</t>
  </si>
  <si>
    <t>5.5.2.10</t>
  </si>
  <si>
    <t>Déploiement de l’application LMD PRO à la Direction de la Médecine du travail ( frais de production, hébergement, restauration, etc…)</t>
  </si>
  <si>
    <t>5.5.2.11</t>
  </si>
  <si>
    <t>Matériel informatique</t>
  </si>
  <si>
    <t>Sous-total Objectif 5</t>
  </si>
  <si>
    <t>TOTAL AVENANT 2017</t>
  </si>
  <si>
    <t>TOTAL BUDGET PAP 2017</t>
  </si>
  <si>
    <t xml:space="preserve">Acquisition d'une imprimante multifonction/ imprimante PRO Estudio /Rayonnage, encre et papier d'impression, </t>
  </si>
  <si>
    <t>Effectuer des missions dans une université étrangère</t>
  </si>
  <si>
    <t xml:space="preserve">Produire ou réviser des maquettes pédagogiques, syllabi, plan de cours le guide du vacataire, etc sous forme de séminaires/ateliers                          </t>
  </si>
  <si>
    <t>Acréditation et habilitation à l'ANAQ- Sup et au CAMES            - Ateliers: frais d'hôtel, restauration, pause- déjeuner, production, transport, impression rapport, frais de dépôt des rapports, etc.</t>
  </si>
  <si>
    <t>5.4.2 Mise en place d’un dispositif de normalisation du calendrier académique  (REMPLACE:     "Mettre en place un dispositif permettant d’anticiper sur les inscriptions des étudiants (une semaine avant le début des cours)")</t>
  </si>
  <si>
    <t>5.4.3 Mettre en place un dispositif de contrôle et de suivi de la présence et de l’assiduité des étudiants</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</si>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</sst>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2" formatCode="_-* #,##0\ &quot;CFA&quot;_-;\-* #,##0\ &quot;CFA&quot;_-;_-* &quot;-&quot;\ &quot;CFA&quot;_-;_-@_-"/>
    <numFmt numFmtId="164" formatCode="_-* #,##0.00\ _€_-;\-* #,##0.00\ _€_-;_-* &quot;-&quot;??\ _€_-;_-@_-"/>
    <numFmt numFmtId="165" formatCode="_-* #,##0\ _C_F_A_-;\-* #,##0\ _C_F_A_-;_-* &quot;-&quot;\ _C_F_A_-;_-@_-"/>
    <numFmt numFmtId="166" formatCode="#,##0_ ;\-#,##0\ "/>
    <numFmt numFmtId="167" formatCode="_-* #,##0\ _€_-;\-* #,##0\ _€_-;_-* &quot;-&quot;??\ _€_-;_-@_-"/>
    <numFmt numFmtId="168" formatCode="#,##0.0"/>
    <numFmt numFmtId="169" formatCode="_-* #,##0\ _C_F_A_-;\-* #,##0\ _C_F_A_-;_-* &quot;-&quot;?\ _C_F_A_-;_-@_-"/>
    <numFmt numFmtId="170" formatCode="&quot; &quot;* #,##0&quot;     &quot;;&quot;-&quot;* #,##0&quot;     &quot;;&quot; &quot;* &quot;-     &quot;"/>
    <numFmt numFmtId="171" formatCode="&quot; &quot;* #,##0&quot;   &quot;;&quot;-&quot;* #,##0&quot;   &quot;;&quot; &quot;* &quot;-&quot;??&quot;   &quot;"/>
    <numFmt numFmtId="172" formatCode="_ * #,##0_ [$FCFA-2C0C]_ ;_ * \-#,##0\ [$FCFA-2C0C]_ ;_ * &quot;-&quot;??_ [$FCFA-2C0C]_ ;_ @_ "/>
    <numFmt numFmtId="173" formatCode="&quot;Actif&quot;;&quot;Actif&quot;;&quot;Inactif&quot;"/>
  </numFmts>
  <fonts count="72" x14ac:knownFonts="1">
    <font>
      <sz val="11"/>
      <color theme="1"/>
      <name val="Calibri"/>
      <family val="2"/>
      <scheme val="minor"/>
    </font>
    <font>
      <sz val="11"/>
      <color theme="1"/>
      <name val="Calibri"/>
      <family val="2"/>
      <scheme val="minor"/>
    </font>
    <font>
      <b/>
      <sz val="13"/>
      <color theme="3"/>
      <name val="Calibri"/>
      <family val="2"/>
      <scheme val="minor"/>
    </font>
    <font>
      <sz val="11"/>
      <color rgb="FFFF0000"/>
      <name val="Calibri"/>
      <family val="2"/>
      <scheme val="minor"/>
    </font>
    <font>
      <sz val="14"/>
      <color theme="1"/>
      <name val="Calibri"/>
      <family val="2"/>
      <scheme val="minor"/>
    </font>
    <font>
      <sz val="10"/>
      <name val="Arial"/>
      <family val="2"/>
    </font>
    <font>
      <b/>
      <sz val="16"/>
      <color theme="1"/>
      <name val="Calibri"/>
      <family val="2"/>
      <scheme val="minor"/>
    </font>
    <font>
      <sz val="11"/>
      <name val="Calibri"/>
      <family val="2"/>
      <scheme val="minor"/>
    </font>
    <font>
      <b/>
      <sz val="12"/>
      <color theme="1"/>
      <name val="Times New Roman"/>
      <family val="1"/>
    </font>
    <font>
      <sz val="12"/>
      <color theme="1"/>
      <name val="Calibri"/>
      <family val="2"/>
      <scheme val="minor"/>
    </font>
    <font>
      <b/>
      <sz val="16"/>
      <color theme="3"/>
      <name val="Calibri"/>
      <family val="2"/>
      <scheme val="minor"/>
    </font>
    <font>
      <b/>
      <sz val="28"/>
      <color theme="1"/>
      <name val="Calibri"/>
      <family val="2"/>
      <scheme val="minor"/>
    </font>
    <font>
      <b/>
      <sz val="14"/>
      <color theme="1"/>
      <name val="Calibri"/>
      <family val="2"/>
      <scheme val="minor"/>
    </font>
    <font>
      <b/>
      <sz val="28"/>
      <color theme="3"/>
      <name val="Calibri"/>
      <family val="2"/>
      <scheme val="minor"/>
    </font>
    <font>
      <b/>
      <sz val="14"/>
      <color theme="3"/>
      <name val="Calibri"/>
      <family val="2"/>
      <scheme val="minor"/>
    </font>
    <font>
      <b/>
      <sz val="36"/>
      <color theme="1"/>
      <name val="Calibri"/>
      <family val="2"/>
      <scheme val="minor"/>
    </font>
    <font>
      <b/>
      <sz val="36"/>
      <color rgb="FFFF0000"/>
      <name val="Calibri"/>
      <family val="2"/>
      <scheme val="minor"/>
    </font>
    <font>
      <b/>
      <sz val="12"/>
      <color theme="1" tint="4.9989318521683403E-2"/>
      <name val="Calibri"/>
      <family val="2"/>
      <scheme val="minor"/>
    </font>
    <font>
      <sz val="12"/>
      <color theme="1"/>
      <name val="Times New Roman"/>
      <family val="1"/>
    </font>
    <font>
      <sz val="14"/>
      <name val="Times New Roman"/>
      <family val="1"/>
    </font>
    <font>
      <b/>
      <sz val="12"/>
      <name val="Times New Roman"/>
      <family val="1"/>
    </font>
    <font>
      <sz val="12"/>
      <name val="Times New Roman"/>
      <family val="1"/>
    </font>
    <font>
      <b/>
      <sz val="12"/>
      <color rgb="FFFF0000"/>
      <name val="Arial Black"/>
      <family val="2"/>
    </font>
    <font>
      <sz val="11"/>
      <color rgb="FF0000FF"/>
      <name val="Calibri"/>
      <family val="2"/>
      <scheme val="minor"/>
    </font>
    <font>
      <sz val="12"/>
      <name val="Calibri"/>
      <family val="2"/>
      <scheme val="minor"/>
    </font>
    <font>
      <sz val="12"/>
      <color rgb="FFFF0000"/>
      <name val="Calibri"/>
      <family val="2"/>
      <scheme val="minor"/>
    </font>
    <font>
      <b/>
      <sz val="12"/>
      <color theme="1"/>
      <name val="Calibri"/>
      <family val="2"/>
      <scheme val="minor"/>
    </font>
    <font>
      <b/>
      <sz val="16"/>
      <name val="Times New Roman"/>
      <family val="1"/>
    </font>
    <font>
      <b/>
      <sz val="16"/>
      <color rgb="FF0000FF"/>
      <name val="Times New Roman"/>
      <family val="1"/>
    </font>
    <font>
      <b/>
      <sz val="16"/>
      <color rgb="FF008000"/>
      <name val="Times New Roman"/>
      <family val="1"/>
    </font>
    <font>
      <sz val="11"/>
      <color rgb="FF008000"/>
      <name val="Calibri"/>
      <family val="2"/>
      <scheme val="minor"/>
    </font>
    <font>
      <sz val="12"/>
      <color indexed="10"/>
      <name val="Times New Roman"/>
      <family val="1"/>
    </font>
    <font>
      <b/>
      <sz val="14"/>
      <name val="Times New Roman"/>
      <family val="1"/>
    </font>
    <font>
      <b/>
      <sz val="24"/>
      <name val="Times New Roman"/>
      <family val="1"/>
    </font>
    <font>
      <sz val="12"/>
      <color indexed="8"/>
      <name val="Verdana"/>
      <family val="2"/>
    </font>
    <font>
      <b/>
      <sz val="16"/>
      <color indexed="8"/>
      <name val="Calibri"/>
      <family val="2"/>
    </font>
    <font>
      <sz val="11"/>
      <color indexed="8"/>
      <name val="Calibri"/>
      <family val="2"/>
    </font>
    <font>
      <b/>
      <sz val="14"/>
      <color indexed="8"/>
      <name val="Calibri"/>
      <family val="2"/>
    </font>
    <font>
      <b/>
      <sz val="12"/>
      <color indexed="8"/>
      <name val="Calibri"/>
      <family val="2"/>
    </font>
    <font>
      <sz val="12"/>
      <color indexed="8"/>
      <name val="Calibri"/>
      <family val="2"/>
    </font>
    <font>
      <sz val="12"/>
      <color theme="1"/>
      <name val="Calibri"/>
      <family val="2"/>
    </font>
    <font>
      <sz val="16"/>
      <color indexed="8"/>
      <name val="Times New Roman"/>
      <family val="1"/>
    </font>
    <font>
      <sz val="11"/>
      <name val="Calibri"/>
      <family val="2"/>
    </font>
    <font>
      <sz val="12"/>
      <name val="Verdana"/>
      <family val="2"/>
    </font>
    <font>
      <b/>
      <sz val="14"/>
      <color indexed="10"/>
      <name val="Calibri"/>
      <family val="2"/>
    </font>
    <font>
      <b/>
      <sz val="13"/>
      <name val="Times New Roman"/>
      <family val="1"/>
    </font>
    <font>
      <b/>
      <sz val="16"/>
      <color indexed="63"/>
      <name val="Arial"/>
      <family val="2"/>
    </font>
    <font>
      <b/>
      <sz val="26"/>
      <name val="Times New Roman"/>
      <family val="1"/>
    </font>
    <font>
      <b/>
      <sz val="36"/>
      <color indexed="8"/>
      <name val="Calibri"/>
      <family val="2"/>
    </font>
    <font>
      <b/>
      <sz val="26"/>
      <name val="Calibri"/>
      <family val="2"/>
    </font>
    <font>
      <sz val="14"/>
      <color indexed="8"/>
      <name val="Calibri"/>
      <family val="2"/>
    </font>
    <font>
      <sz val="11"/>
      <color indexed="10"/>
      <name val="Calibri"/>
      <family val="2"/>
    </font>
    <font>
      <b/>
      <i/>
      <sz val="14"/>
      <color theme="1"/>
      <name val="Calibri"/>
      <family val="2"/>
      <scheme val="minor"/>
    </font>
    <font>
      <b/>
      <i/>
      <sz val="22"/>
      <color theme="1"/>
      <name val="Calibri"/>
      <family val="2"/>
      <scheme val="minor"/>
    </font>
    <font>
      <sz val="11"/>
      <color theme="1"/>
      <name val="Times New Roman"/>
      <family val="1"/>
    </font>
    <font>
      <b/>
      <sz val="18"/>
      <color theme="1"/>
      <name val="Times New Roman"/>
      <family val="1"/>
    </font>
    <font>
      <b/>
      <sz val="18"/>
      <color rgb="FFFF0000"/>
      <name val="Times New Roman"/>
      <family val="1"/>
    </font>
    <font>
      <sz val="10"/>
      <color indexed="8"/>
      <name val="Arial"/>
      <family val="2"/>
    </font>
    <font>
      <sz val="16"/>
      <name val="Times New Roman"/>
      <family val="1"/>
    </font>
    <font>
      <b/>
      <i/>
      <sz val="24"/>
      <name val="Times New Roman"/>
      <family val="1"/>
    </font>
    <font>
      <b/>
      <i/>
      <sz val="14"/>
      <name val="Times New Roman"/>
      <family val="1"/>
    </font>
    <font>
      <b/>
      <i/>
      <sz val="22"/>
      <name val="Times New Roman"/>
      <family val="1"/>
    </font>
    <font>
      <b/>
      <sz val="18"/>
      <name val="Times New Roman"/>
      <family val="1"/>
    </font>
    <font>
      <b/>
      <sz val="22"/>
      <name val="Times New Roman"/>
      <family val="1"/>
    </font>
    <font>
      <b/>
      <i/>
      <sz val="26"/>
      <name val="Times New Roman"/>
      <family val="1"/>
    </font>
    <font>
      <sz val="26"/>
      <name val="Times New Roman"/>
      <family val="1"/>
    </font>
    <font>
      <b/>
      <i/>
      <sz val="28"/>
      <name val="Times New Roman"/>
      <family val="1"/>
    </font>
    <font>
      <b/>
      <i/>
      <sz val="18"/>
      <name val="Times New Roman"/>
      <family val="1"/>
    </font>
    <font>
      <sz val="11"/>
      <name val="Times New Roman"/>
      <family val="1"/>
    </font>
    <font>
      <sz val="1"/>
      <name val="Times New Roman"/>
      <family val="1"/>
    </font>
    <font>
      <b/>
      <sz val="36"/>
      <color indexed="8"/>
      <name val="Times New Roman"/>
      <family val="1"/>
    </font>
    <font>
      <b/>
      <sz val="36"/>
      <name val="Times New Roman"/>
      <family val="1"/>
    </font>
  </fonts>
  <fills count="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indexed="9"/>
        <bgColor indexed="64"/>
      </patternFill>
    </fill>
    <fill>
      <patternFill patternType="solid">
        <fgColor theme="0"/>
        <bgColor rgb="FF000000"/>
      </patternFill>
    </fill>
    <fill>
      <patternFill patternType="solid">
        <fgColor theme="0"/>
        <bgColor auto="1"/>
      </patternFill>
    </fill>
    <fill>
      <patternFill patternType="solid">
        <fgColor theme="9"/>
        <bgColor indexed="64"/>
      </patternFill>
    </fill>
  </fills>
  <borders count="103">
    <border>
      <left/>
      <right/>
      <top/>
      <bottom/>
      <diagonal/>
    </border>
    <border>
      <left/>
      <right/>
      <top/>
      <bottom style="thick">
        <color theme="4" tint="0.499984740745262"/>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theme="4"/>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thick">
        <color auto="1"/>
      </top>
      <bottom/>
      <diagonal/>
    </border>
    <border>
      <left style="thick">
        <color auto="1"/>
      </left>
      <right/>
      <top style="thick">
        <color auto="1"/>
      </top>
      <bottom/>
      <diagonal/>
    </border>
    <border>
      <left style="medium">
        <color auto="1"/>
      </left>
      <right style="thick">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right style="thin">
        <color auto="1"/>
      </right>
      <top style="thin">
        <color auto="1"/>
      </top>
      <bottom/>
      <diagonal/>
    </border>
    <border>
      <left style="thick">
        <color auto="1"/>
      </left>
      <right/>
      <top/>
      <bottom/>
      <diagonal/>
    </border>
    <border>
      <left/>
      <right style="thick">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top/>
      <bottom/>
      <diagonal/>
    </border>
    <border>
      <left style="medium">
        <color auto="1"/>
      </left>
      <right style="medium">
        <color auto="1"/>
      </right>
      <top style="medium">
        <color auto="1"/>
      </top>
      <bottom/>
      <diagonal/>
    </border>
    <border>
      <left/>
      <right/>
      <top style="thick">
        <color auto="1"/>
      </top>
      <bottom style="thin">
        <color auto="1"/>
      </bottom>
      <diagonal/>
    </border>
    <border>
      <left style="medium">
        <color auto="1"/>
      </left>
      <right style="thin">
        <color auto="1"/>
      </right>
      <top style="medium">
        <color auto="1"/>
      </top>
      <bottom style="thin">
        <color auto="1"/>
      </bottom>
      <diagonal/>
    </border>
    <border>
      <left style="thin">
        <color auto="1"/>
      </left>
      <right/>
      <top/>
      <bottom style="thin">
        <color auto="1"/>
      </bottom>
      <diagonal/>
    </border>
    <border>
      <left/>
      <right style="medium">
        <color auto="1"/>
      </right>
      <top style="thin">
        <color auto="1"/>
      </top>
      <bottom style="thin">
        <color auto="1"/>
      </bottom>
      <diagonal/>
    </border>
    <border>
      <left style="medium">
        <color auto="1"/>
      </left>
      <right style="medium">
        <color auto="1"/>
      </right>
      <top/>
      <bottom/>
      <diagonal/>
    </border>
    <border>
      <left/>
      <right/>
      <top/>
      <bottom style="thin">
        <color auto="1"/>
      </bottom>
      <diagonal/>
    </border>
    <border>
      <left style="medium">
        <color auto="1"/>
      </left>
      <right style="medium">
        <color auto="1"/>
      </right>
      <top style="thin">
        <color auto="1"/>
      </top>
      <bottom style="medium">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diagonal/>
    </border>
    <border>
      <left style="medium">
        <color auto="1"/>
      </left>
      <right style="thin">
        <color auto="1"/>
      </right>
      <top style="thin">
        <color auto="1"/>
      </top>
      <bottom/>
      <diagonal/>
    </border>
    <border>
      <left/>
      <right/>
      <top style="medium">
        <color auto="1"/>
      </top>
      <bottom style="thin">
        <color auto="1"/>
      </bottom>
      <diagonal/>
    </border>
    <border>
      <left style="medium">
        <color auto="1"/>
      </left>
      <right/>
      <top style="thin">
        <color auto="1"/>
      </top>
      <bottom style="thin">
        <color auto="1"/>
      </bottom>
      <diagonal/>
    </border>
    <border>
      <left style="thin">
        <color auto="1"/>
      </left>
      <right style="thick">
        <color auto="1"/>
      </right>
      <top/>
      <bottom style="thin">
        <color auto="1"/>
      </bottom>
      <diagonal/>
    </border>
    <border>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thin">
        <color auto="1"/>
      </left>
      <right/>
      <top/>
      <bottom style="medium">
        <color auto="1"/>
      </bottom>
      <diagonal/>
    </border>
    <border>
      <left style="thin">
        <color auto="1"/>
      </left>
      <right/>
      <top style="medium">
        <color auto="1"/>
      </top>
      <bottom/>
      <diagonal/>
    </border>
    <border>
      <left style="thin">
        <color auto="1"/>
      </left>
      <right style="thick">
        <color auto="1"/>
      </right>
      <top style="thin">
        <color auto="1"/>
      </top>
      <bottom/>
      <diagonal/>
    </border>
    <border>
      <left style="thin">
        <color auto="1"/>
      </left>
      <right/>
      <top/>
      <bottom/>
      <diagonal/>
    </border>
    <border>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thin">
        <color auto="1"/>
      </right>
      <top/>
      <bottom style="thick">
        <color auto="1"/>
      </bottom>
      <diagonal/>
    </border>
    <border>
      <left style="thin">
        <color auto="1"/>
      </left>
      <right style="thick">
        <color auto="1"/>
      </right>
      <top/>
      <bottom style="thick">
        <color auto="1"/>
      </bottom>
      <diagonal/>
    </border>
    <border>
      <left style="thin">
        <color auto="1"/>
      </left>
      <right style="thick">
        <color auto="1"/>
      </right>
      <top/>
      <bottom/>
      <diagonal/>
    </border>
    <border>
      <left/>
      <right style="thin">
        <color auto="1"/>
      </right>
      <top/>
      <bottom style="medium">
        <color auto="1"/>
      </bottom>
      <diagonal/>
    </border>
    <border>
      <left style="thin">
        <color auto="1"/>
      </left>
      <right style="thick">
        <color auto="1"/>
      </right>
      <top style="thin">
        <color auto="1"/>
      </top>
      <bottom style="thin">
        <color auto="1"/>
      </bottom>
      <diagonal/>
    </border>
    <border>
      <left style="thin">
        <color auto="1"/>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style="thin">
        <color rgb="FFC00000"/>
      </bottom>
      <diagonal/>
    </border>
    <border>
      <left style="thin">
        <color auto="1"/>
      </left>
      <right style="thin">
        <color auto="1"/>
      </right>
      <top style="double">
        <color rgb="FFC00000"/>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right style="thin">
        <color indexed="9"/>
      </right>
      <top style="thin">
        <color indexed="9"/>
      </top>
      <bottom/>
      <diagonal/>
    </border>
    <border>
      <left style="thin">
        <color indexed="9"/>
      </left>
      <right style="thin">
        <color indexed="9"/>
      </right>
      <top style="thin">
        <color indexed="8"/>
      </top>
      <bottom/>
      <diagonal/>
    </border>
    <border>
      <left style="thin">
        <color indexed="9"/>
      </left>
      <right style="thin">
        <color indexed="8"/>
      </right>
      <top style="thin">
        <color indexed="8"/>
      </top>
      <bottom/>
      <diagonal/>
    </border>
  </borders>
  <cellStyleXfs count="17">
    <xf numFmtId="0" fontId="0" fillId="0" borderId="0"/>
    <xf numFmtId="164" fontId="1" fillId="0" borderId="0" applyFont="0" applyFill="0" applyBorder="0" applyAlignment="0" applyProtection="0"/>
    <xf numFmtId="165" fontId="1" fillId="0" borderId="0" applyFont="0" applyFill="0" applyBorder="0" applyAlignment="0" applyProtection="0"/>
    <xf numFmtId="0" fontId="2" fillId="0" borderId="1" applyNumberFormat="0" applyFill="0" applyAlignment="0" applyProtection="0"/>
    <xf numFmtId="0" fontId="5" fillId="0" borderId="0"/>
    <xf numFmtId="0" fontId="34" fillId="0" borderId="0" applyNumberFormat="0" applyFill="0" applyBorder="0" applyProtection="0">
      <alignment vertical="top" wrapText="1"/>
    </xf>
    <xf numFmtId="164" fontId="36" fillId="0" borderId="0" applyFont="0" applyFill="0" applyBorder="0" applyAlignment="0" applyProtection="0"/>
    <xf numFmtId="166" fontId="36" fillId="0" borderId="0" applyFont="0" applyFill="0" applyBorder="0" applyAlignment="0" applyProtection="0"/>
    <xf numFmtId="173" fontId="5" fillId="0" borderId="0" applyFont="0" applyFill="0" applyBorder="0" applyAlignment="0" applyProtection="0"/>
    <xf numFmtId="164" fontId="5" fillId="0" borderId="0" applyFont="0" applyFill="0" applyBorder="0" applyAlignment="0" applyProtection="0"/>
    <xf numFmtId="0" fontId="9" fillId="0" borderId="0"/>
    <xf numFmtId="0" fontId="5" fillId="0" borderId="0"/>
    <xf numFmtId="0" fontId="9" fillId="0" borderId="0"/>
    <xf numFmtId="0" fontId="1" fillId="0" borderId="0"/>
    <xf numFmtId="0" fontId="57" fillId="0" borderId="0"/>
    <xf numFmtId="0" fontId="9" fillId="0" borderId="0"/>
    <xf numFmtId="9" fontId="5" fillId="0" borderId="0" applyFont="0" applyFill="0" applyBorder="0" applyAlignment="0" applyProtection="0"/>
  </cellStyleXfs>
  <cellXfs count="604">
    <xf numFmtId="0" fontId="0" fillId="0" borderId="0" xfId="0"/>
    <xf numFmtId="0" fontId="4" fillId="0" borderId="0" xfId="0" applyFont="1" applyAlignment="1">
      <alignment horizontal="left"/>
    </xf>
    <xf numFmtId="0" fontId="9" fillId="0" borderId="0" xfId="0" applyFont="1"/>
    <xf numFmtId="0" fontId="14" fillId="0" borderId="6" xfId="3" applyFont="1" applyBorder="1" applyAlignment="1">
      <alignment horizontal="left" vertical="center"/>
    </xf>
    <xf numFmtId="0" fontId="10" fillId="0" borderId="0" xfId="3"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165" fontId="7" fillId="2" borderId="0" xfId="0" applyNumberFormat="1" applyFont="1" applyFill="1" applyAlignment="1">
      <alignment horizontal="right"/>
    </xf>
    <xf numFmtId="165" fontId="7" fillId="2" borderId="0" xfId="0" applyNumberFormat="1" applyFont="1" applyFill="1"/>
    <xf numFmtId="0" fontId="7" fillId="2" borderId="0" xfId="0" applyFont="1" applyFill="1"/>
    <xf numFmtId="165" fontId="3" fillId="2" borderId="0" xfId="0" applyNumberFormat="1" applyFont="1" applyFill="1"/>
    <xf numFmtId="165" fontId="16" fillId="2" borderId="0" xfId="0" applyNumberFormat="1" applyFont="1" applyFill="1" applyAlignment="1">
      <alignment horizontal="center"/>
    </xf>
    <xf numFmtId="0" fontId="17" fillId="0" borderId="0" xfId="0" applyFont="1" applyAlignment="1">
      <alignment horizontal="center" vertical="center" wrapText="1"/>
    </xf>
    <xf numFmtId="0" fontId="19" fillId="2" borderId="21" xfId="0" applyFont="1" applyFill="1" applyBorder="1" applyAlignment="1">
      <alignment horizontal="left" vertical="center" wrapText="1"/>
    </xf>
    <xf numFmtId="0" fontId="9" fillId="2" borderId="0" xfId="0" applyFont="1" applyFill="1"/>
    <xf numFmtId="17" fontId="20" fillId="2" borderId="2" xfId="0" applyNumberFormat="1" applyFont="1" applyFill="1" applyBorder="1" applyAlignment="1">
      <alignment horizontal="center" vertical="center"/>
    </xf>
    <xf numFmtId="0" fontId="21" fillId="2" borderId="2" xfId="0" applyFont="1" applyFill="1" applyBorder="1" applyAlignment="1">
      <alignment horizontal="center" vertical="center" wrapText="1"/>
    </xf>
    <xf numFmtId="0" fontId="21" fillId="2" borderId="2" xfId="0" applyFont="1" applyFill="1" applyBorder="1" applyAlignment="1">
      <alignment horizontal="left" vertical="center" wrapText="1"/>
    </xf>
    <xf numFmtId="17" fontId="20" fillId="2" borderId="41" xfId="0" applyNumberFormat="1" applyFont="1" applyFill="1" applyBorder="1" applyAlignment="1">
      <alignment horizontal="center" vertical="center" wrapText="1"/>
    </xf>
    <xf numFmtId="0" fontId="21" fillId="2" borderId="39" xfId="0" applyFont="1" applyFill="1" applyBorder="1" applyAlignment="1">
      <alignment horizontal="center" vertical="center" wrapText="1"/>
    </xf>
    <xf numFmtId="0" fontId="20" fillId="2" borderId="40" xfId="0" applyFont="1" applyFill="1" applyBorder="1" applyAlignment="1">
      <alignment horizontal="center" vertical="center" wrapText="1"/>
    </xf>
    <xf numFmtId="0" fontId="20" fillId="2" borderId="23" xfId="0" applyFont="1" applyFill="1" applyBorder="1" applyAlignment="1">
      <alignment horizontal="center" vertical="center" wrapText="1"/>
    </xf>
    <xf numFmtId="0" fontId="21" fillId="2" borderId="22" xfId="0" applyFont="1" applyFill="1" applyBorder="1" applyAlignment="1">
      <alignment horizontal="left" vertical="center" wrapText="1"/>
    </xf>
    <xf numFmtId="17" fontId="20" fillId="2" borderId="2" xfId="0" applyNumberFormat="1" applyFont="1" applyFill="1" applyBorder="1" applyAlignment="1">
      <alignment horizontal="center" vertical="center" wrapText="1"/>
    </xf>
    <xf numFmtId="0" fontId="20" fillId="2" borderId="2" xfId="0" applyFont="1" applyFill="1" applyBorder="1" applyAlignment="1">
      <alignment horizontal="center" vertical="center" wrapText="1"/>
    </xf>
    <xf numFmtId="0" fontId="12" fillId="0" borderId="0" xfId="0" applyFont="1"/>
    <xf numFmtId="17" fontId="20" fillId="2" borderId="17" xfId="0" applyNumberFormat="1" applyFont="1" applyFill="1" applyBorder="1" applyAlignment="1">
      <alignment horizontal="center" vertical="center" wrapText="1"/>
    </xf>
    <xf numFmtId="0" fontId="21" fillId="2" borderId="17" xfId="0" applyFont="1" applyFill="1" applyBorder="1" applyAlignment="1">
      <alignment horizontal="center" vertical="center" wrapText="1"/>
    </xf>
    <xf numFmtId="0" fontId="32" fillId="2" borderId="2" xfId="0" applyFont="1" applyFill="1" applyBorder="1" applyAlignment="1">
      <alignment horizontal="center" vertical="center" wrapText="1"/>
    </xf>
    <xf numFmtId="168" fontId="21" fillId="2" borderId="17" xfId="0" applyNumberFormat="1" applyFont="1" applyFill="1" applyBorder="1" applyAlignment="1">
      <alignment horizontal="center" vertical="center" wrapText="1"/>
    </xf>
    <xf numFmtId="168" fontId="32" fillId="2" borderId="17" xfId="0" applyNumberFormat="1" applyFont="1" applyFill="1" applyBorder="1" applyAlignment="1">
      <alignment horizontal="center" vertical="center" wrapText="1"/>
    </xf>
    <xf numFmtId="168" fontId="21" fillId="2" borderId="2" xfId="0" applyNumberFormat="1" applyFont="1" applyFill="1" applyBorder="1" applyAlignment="1">
      <alignment horizontal="left" vertical="center" wrapText="1"/>
    </xf>
    <xf numFmtId="168" fontId="21" fillId="2" borderId="2" xfId="0" applyNumberFormat="1" applyFont="1" applyFill="1" applyBorder="1" applyAlignment="1">
      <alignment horizontal="center" vertical="center" wrapText="1"/>
    </xf>
    <xf numFmtId="168" fontId="32" fillId="2" borderId="2" xfId="0" applyNumberFormat="1" applyFont="1" applyFill="1" applyBorder="1" applyAlignment="1">
      <alignment horizontal="center" vertical="center" wrapText="1"/>
    </xf>
    <xf numFmtId="0" fontId="36" fillId="0" borderId="0" xfId="5" applyNumberFormat="1" applyFont="1" applyBorder="1" applyAlignment="1"/>
    <xf numFmtId="167" fontId="36" fillId="0" borderId="0" xfId="6" applyNumberFormat="1" applyFont="1" applyBorder="1"/>
    <xf numFmtId="167" fontId="46" fillId="0" borderId="0" xfId="6" applyNumberFormat="1" applyFont="1"/>
    <xf numFmtId="0" fontId="37" fillId="0" borderId="0" xfId="0" applyFont="1" applyAlignment="1">
      <alignment horizontal="left" vertical="center" wrapText="1"/>
    </xf>
    <xf numFmtId="0" fontId="37" fillId="0" borderId="0" xfId="0" applyFont="1" applyAlignment="1">
      <alignment horizontal="center" vertical="center" wrapText="1"/>
    </xf>
    <xf numFmtId="14" fontId="37" fillId="0" borderId="0" xfId="0" applyNumberFormat="1" applyFont="1" applyAlignment="1">
      <alignment horizontal="center" vertical="center" wrapText="1"/>
    </xf>
    <xf numFmtId="165" fontId="37" fillId="0" borderId="0" xfId="0" applyNumberFormat="1" applyFont="1" applyAlignment="1">
      <alignment horizontal="center" vertical="center" wrapText="1"/>
    </xf>
    <xf numFmtId="0" fontId="35" fillId="0" borderId="0" xfId="0" applyFont="1"/>
    <xf numFmtId="165" fontId="37" fillId="0" borderId="0" xfId="0" applyNumberFormat="1" applyFont="1" applyAlignment="1">
      <alignment horizontal="right" vertical="center" wrapText="1"/>
    </xf>
    <xf numFmtId="0" fontId="37" fillId="0" borderId="0" xfId="0" applyFont="1" applyAlignment="1">
      <alignment vertical="center" wrapText="1"/>
    </xf>
    <xf numFmtId="165" fontId="44" fillId="0" borderId="0" xfId="0" applyNumberFormat="1" applyFont="1" applyAlignment="1">
      <alignment vertical="center" wrapText="1"/>
    </xf>
    <xf numFmtId="0" fontId="44" fillId="0" borderId="0" xfId="0" applyFont="1" applyAlignment="1">
      <alignment vertical="center" wrapText="1"/>
    </xf>
    <xf numFmtId="0" fontId="44" fillId="0" borderId="0" xfId="0" applyFont="1" applyAlignment="1">
      <alignment horizontal="right" vertical="center" wrapText="1"/>
    </xf>
    <xf numFmtId="165" fontId="49" fillId="0" borderId="0" xfId="0" applyNumberFormat="1" applyFont="1" applyAlignment="1">
      <alignment horizontal="right"/>
    </xf>
    <xf numFmtId="165" fontId="42" fillId="4" borderId="0" xfId="0" applyNumberFormat="1" applyFont="1" applyFill="1"/>
    <xf numFmtId="0" fontId="50" fillId="0" borderId="0" xfId="0" applyFont="1" applyAlignment="1">
      <alignment horizontal="left"/>
    </xf>
    <xf numFmtId="165" fontId="0" fillId="0" borderId="0" xfId="0" applyNumberFormat="1"/>
    <xf numFmtId="165" fontId="51" fillId="0" borderId="0" xfId="0" applyNumberFormat="1" applyFont="1"/>
    <xf numFmtId="0" fontId="51" fillId="0" borderId="0" xfId="0" applyFont="1"/>
    <xf numFmtId="0" fontId="51" fillId="0" borderId="0" xfId="0" applyFont="1" applyAlignment="1">
      <alignment horizontal="right"/>
    </xf>
    <xf numFmtId="0" fontId="52" fillId="0" borderId="0" xfId="0" applyFont="1" applyAlignment="1">
      <alignment horizontal="left" vertical="center" wrapText="1"/>
    </xf>
    <xf numFmtId="0" fontId="53" fillId="0" borderId="0" xfId="0" applyFont="1" applyAlignment="1">
      <alignment horizontal="left" vertical="center" wrapText="1"/>
    </xf>
    <xf numFmtId="14" fontId="8" fillId="0" borderId="0" xfId="0" applyNumberFormat="1" applyFont="1" applyAlignment="1">
      <alignment horizontal="center" vertical="center" wrapText="1"/>
    </xf>
    <xf numFmtId="0" fontId="54" fillId="0" borderId="0" xfId="0" applyFont="1" applyAlignment="1">
      <alignment horizontal="center" vertical="center" wrapText="1"/>
    </xf>
    <xf numFmtId="0" fontId="8" fillId="0" borderId="0" xfId="0" applyFont="1" applyAlignment="1">
      <alignment horizontal="center" vertical="center" wrapText="1"/>
    </xf>
    <xf numFmtId="0" fontId="18" fillId="0" borderId="0" xfId="0" applyFont="1" applyAlignment="1">
      <alignment horizontal="center" vertical="center" wrapText="1"/>
    </xf>
    <xf numFmtId="165" fontId="18" fillId="0" borderId="0" xfId="0" applyNumberFormat="1" applyFont="1" applyAlignment="1">
      <alignment horizontal="right" vertical="center" wrapText="1"/>
    </xf>
    <xf numFmtId="165" fontId="18" fillId="0" borderId="0" xfId="0" applyNumberFormat="1" applyFont="1" applyAlignment="1">
      <alignment horizontal="center" vertical="center" wrapText="1"/>
    </xf>
    <xf numFmtId="165" fontId="55" fillId="0" borderId="0" xfId="1" applyNumberFormat="1" applyFont="1" applyFill="1" applyBorder="1" applyAlignment="1">
      <alignment horizontal="center" vertical="center" wrapText="1"/>
    </xf>
    <xf numFmtId="167" fontId="55" fillId="0" borderId="0" xfId="1" applyNumberFormat="1" applyFont="1" applyFill="1" applyBorder="1" applyAlignment="1">
      <alignment horizontal="center" vertical="center" wrapText="1"/>
    </xf>
    <xf numFmtId="165" fontId="56" fillId="0" borderId="0" xfId="1" applyNumberFormat="1" applyFont="1" applyFill="1" applyBorder="1" applyAlignment="1">
      <alignment horizontal="center" vertical="center" wrapText="1"/>
    </xf>
    <xf numFmtId="165" fontId="3" fillId="0" borderId="0" xfId="0" applyNumberFormat="1" applyFont="1"/>
    <xf numFmtId="0" fontId="3" fillId="0" borderId="0" xfId="0" applyFont="1"/>
    <xf numFmtId="0" fontId="3" fillId="0" borderId="0" xfId="0" applyFont="1" applyAlignment="1">
      <alignment horizontal="right"/>
    </xf>
    <xf numFmtId="0" fontId="3" fillId="0" borderId="68" xfId="0" applyFont="1" applyBorder="1"/>
    <xf numFmtId="165" fontId="3" fillId="0" borderId="68" xfId="0" applyNumberFormat="1" applyFont="1" applyBorder="1"/>
    <xf numFmtId="0" fontId="3" fillId="0" borderId="68" xfId="0" applyFont="1" applyBorder="1" applyAlignment="1">
      <alignment horizontal="right"/>
    </xf>
    <xf numFmtId="0" fontId="20" fillId="2" borderId="21" xfId="0" applyFont="1" applyFill="1" applyBorder="1" applyAlignment="1">
      <alignment horizontal="center" vertical="center" wrapText="1"/>
    </xf>
    <xf numFmtId="0" fontId="21" fillId="2" borderId="21" xfId="0" applyFont="1" applyFill="1" applyBorder="1" applyAlignment="1">
      <alignment vertical="center" wrapText="1"/>
    </xf>
    <xf numFmtId="17" fontId="20" fillId="2" borderId="21" xfId="0" applyNumberFormat="1" applyFont="1" applyFill="1" applyBorder="1" applyAlignment="1">
      <alignment horizontal="center" vertical="center" wrapText="1"/>
    </xf>
    <xf numFmtId="14" fontId="20" fillId="2" borderId="2" xfId="0" applyNumberFormat="1" applyFont="1" applyFill="1" applyBorder="1" applyAlignment="1">
      <alignment horizontal="center" vertical="center" wrapText="1"/>
    </xf>
    <xf numFmtId="0" fontId="32" fillId="2" borderId="21" xfId="0" applyFont="1" applyFill="1" applyBorder="1" applyAlignment="1">
      <alignment horizontal="left" vertical="center" wrapText="1"/>
    </xf>
    <xf numFmtId="0" fontId="21" fillId="2" borderId="16" xfId="0" applyFont="1" applyFill="1" applyBorder="1" applyAlignment="1">
      <alignment horizontal="center" vertical="center" wrapText="1"/>
    </xf>
    <xf numFmtId="0" fontId="21" fillId="2" borderId="21" xfId="0" applyFont="1" applyFill="1" applyBorder="1" applyAlignment="1">
      <alignment horizontal="center" vertical="center" wrapText="1"/>
    </xf>
    <xf numFmtId="2" fontId="21" fillId="2" borderId="2" xfId="0" applyNumberFormat="1" applyFont="1" applyFill="1" applyBorder="1" applyAlignment="1">
      <alignment horizontal="center" vertical="center" wrapText="1"/>
    </xf>
    <xf numFmtId="0" fontId="21" fillId="2" borderId="42" xfId="0" applyFont="1" applyFill="1" applyBorder="1" applyAlignment="1">
      <alignment horizontal="left" vertical="center" wrapText="1"/>
    </xf>
    <xf numFmtId="0" fontId="21" fillId="2" borderId="42" xfId="0" applyFont="1" applyFill="1" applyBorder="1" applyAlignment="1">
      <alignment horizontal="center" vertical="center" wrapText="1"/>
    </xf>
    <xf numFmtId="0" fontId="20" fillId="2" borderId="43" xfId="0" applyFont="1" applyFill="1" applyBorder="1" applyAlignment="1">
      <alignment horizontal="center" vertical="center" wrapText="1"/>
    </xf>
    <xf numFmtId="0" fontId="21" fillId="2" borderId="51"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21" fillId="2" borderId="53" xfId="0" applyFont="1" applyFill="1" applyBorder="1" applyAlignment="1">
      <alignment horizontal="left" vertical="center" wrapText="1"/>
    </xf>
    <xf numFmtId="0" fontId="21" fillId="2" borderId="54" xfId="0" applyFont="1" applyFill="1" applyBorder="1" applyAlignment="1">
      <alignment horizontal="center" vertical="center" wrapText="1"/>
    </xf>
    <xf numFmtId="0" fontId="20" fillId="2" borderId="53" xfId="0" applyFont="1" applyFill="1" applyBorder="1" applyAlignment="1">
      <alignment horizontal="center" vertical="center" wrapText="1"/>
    </xf>
    <xf numFmtId="0" fontId="32" fillId="2" borderId="2" xfId="0" applyFont="1" applyFill="1" applyBorder="1" applyAlignment="1">
      <alignment horizontal="left" vertical="center" wrapText="1"/>
    </xf>
    <xf numFmtId="0" fontId="21" fillId="2" borderId="2" xfId="0" applyFont="1" applyFill="1" applyBorder="1" applyAlignment="1">
      <alignment horizontal="left" vertical="top" wrapText="1"/>
    </xf>
    <xf numFmtId="0" fontId="21" fillId="2" borderId="24" xfId="0" applyFont="1" applyFill="1" applyBorder="1" applyAlignment="1">
      <alignment horizontal="left" vertical="center" wrapText="1"/>
    </xf>
    <xf numFmtId="0" fontId="21" fillId="2" borderId="59" xfId="0" applyFont="1" applyFill="1" applyBorder="1" applyAlignment="1">
      <alignment horizontal="center" vertical="center" wrapText="1"/>
    </xf>
    <xf numFmtId="0" fontId="20" fillId="2" borderId="25" xfId="0" applyFont="1" applyFill="1" applyBorder="1" applyAlignment="1">
      <alignment horizontal="center" vertical="center" wrapText="1"/>
    </xf>
    <xf numFmtId="165" fontId="27" fillId="2" borderId="2" xfId="1" applyNumberFormat="1" applyFont="1" applyFill="1" applyBorder="1" applyAlignment="1">
      <alignment horizontal="right" vertical="center"/>
    </xf>
    <xf numFmtId="0" fontId="32" fillId="2" borderId="16" xfId="0" applyFont="1" applyFill="1" applyBorder="1" applyAlignment="1">
      <alignment horizontal="left" vertical="center" wrapText="1"/>
    </xf>
    <xf numFmtId="0" fontId="20" fillId="2" borderId="17" xfId="0" applyFont="1" applyFill="1" applyBorder="1" applyAlignment="1">
      <alignment horizontal="center" vertical="center" wrapText="1"/>
    </xf>
    <xf numFmtId="0" fontId="19" fillId="2" borderId="16" xfId="0" applyFont="1" applyFill="1" applyBorder="1" applyAlignment="1">
      <alignment horizontal="left" vertical="center" wrapText="1"/>
    </xf>
    <xf numFmtId="17" fontId="20" fillId="2" borderId="16" xfId="0" applyNumberFormat="1" applyFont="1" applyFill="1" applyBorder="1" applyAlignment="1">
      <alignment horizontal="center" vertical="center" wrapText="1"/>
    </xf>
    <xf numFmtId="0" fontId="21" fillId="2" borderId="18"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1" fillId="2" borderId="2" xfId="0" applyFont="1" applyFill="1" applyBorder="1" applyAlignment="1">
      <alignment vertical="center" wrapText="1"/>
    </xf>
    <xf numFmtId="0" fontId="21" fillId="2" borderId="17" xfId="0" applyFont="1" applyFill="1" applyBorder="1" applyAlignment="1">
      <alignment horizontal="left" vertical="center" wrapText="1"/>
    </xf>
    <xf numFmtId="0" fontId="20" fillId="2" borderId="16" xfId="0" applyFont="1" applyFill="1" applyBorder="1" applyAlignment="1">
      <alignment horizontal="center" vertical="center"/>
    </xf>
    <xf numFmtId="2" fontId="21" fillId="2" borderId="17" xfId="0" applyNumberFormat="1" applyFont="1" applyFill="1" applyBorder="1" applyAlignment="1">
      <alignment horizontal="center" vertical="center" wrapText="1"/>
    </xf>
    <xf numFmtId="0" fontId="21" fillId="2" borderId="32" xfId="0" applyFont="1" applyFill="1" applyBorder="1" applyAlignment="1">
      <alignment horizontal="left" vertical="center" wrapText="1"/>
    </xf>
    <xf numFmtId="0" fontId="21" fillId="2" borderId="32" xfId="0" applyFont="1" applyFill="1" applyBorder="1" applyAlignment="1">
      <alignment horizontal="center" vertical="center" wrapText="1"/>
    </xf>
    <xf numFmtId="0" fontId="20" fillId="2" borderId="33" xfId="0" applyFont="1" applyFill="1" applyBorder="1" applyAlignment="1">
      <alignment horizontal="center" vertical="center" wrapText="1"/>
    </xf>
    <xf numFmtId="0" fontId="20" fillId="2" borderId="34" xfId="0" applyFont="1" applyFill="1" applyBorder="1" applyAlignment="1">
      <alignment horizontal="center" vertical="center" wrapText="1"/>
    </xf>
    <xf numFmtId="165" fontId="27" fillId="2" borderId="17" xfId="1" applyNumberFormat="1" applyFont="1" applyFill="1" applyBorder="1" applyAlignment="1">
      <alignment horizontal="right" vertical="center"/>
    </xf>
    <xf numFmtId="165" fontId="27" fillId="2" borderId="0" xfId="1" applyNumberFormat="1" applyFont="1" applyFill="1" applyBorder="1" applyAlignment="1">
      <alignment horizontal="right" vertical="center"/>
    </xf>
    <xf numFmtId="165" fontId="27" fillId="2" borderId="34" xfId="1" applyNumberFormat="1" applyFont="1" applyFill="1" applyBorder="1" applyAlignment="1">
      <alignment horizontal="right" vertical="center"/>
    </xf>
    <xf numFmtId="165" fontId="27" fillId="2" borderId="23" xfId="1" applyNumberFormat="1" applyFont="1" applyFill="1" applyBorder="1" applyAlignment="1">
      <alignment horizontal="right" vertical="center"/>
    </xf>
    <xf numFmtId="0" fontId="21" fillId="2" borderId="0" xfId="0" applyFont="1" applyFill="1" applyAlignment="1">
      <alignment horizontal="left" vertical="center" wrapText="1"/>
    </xf>
    <xf numFmtId="0" fontId="21" fillId="2" borderId="37" xfId="0" applyFont="1" applyFill="1" applyBorder="1" applyAlignment="1">
      <alignment horizontal="center" vertical="center" wrapText="1"/>
    </xf>
    <xf numFmtId="0" fontId="21" fillId="2" borderId="8" xfId="0" applyFont="1" applyFill="1" applyBorder="1" applyAlignment="1">
      <alignment horizontal="left" vertical="center" wrapText="1"/>
    </xf>
    <xf numFmtId="0" fontId="20" fillId="2" borderId="0" xfId="0" applyFont="1" applyFill="1" applyAlignment="1">
      <alignment horizontal="center" vertical="center"/>
    </xf>
    <xf numFmtId="0" fontId="21" fillId="2" borderId="39" xfId="0" applyFont="1" applyFill="1" applyBorder="1" applyAlignment="1">
      <alignment horizontal="left" vertical="center" wrapText="1"/>
    </xf>
    <xf numFmtId="17" fontId="20" fillId="2" borderId="35" xfId="0" applyNumberFormat="1" applyFont="1" applyFill="1" applyBorder="1" applyAlignment="1">
      <alignment horizontal="center" vertical="center" wrapText="1"/>
    </xf>
    <xf numFmtId="0" fontId="21" fillId="2" borderId="4" xfId="0" applyFont="1" applyFill="1" applyBorder="1" applyAlignment="1">
      <alignment horizontal="left" vertical="center" wrapText="1"/>
    </xf>
    <xf numFmtId="0" fontId="21" fillId="2" borderId="0" xfId="0" applyFont="1" applyFill="1" applyAlignment="1">
      <alignment horizontal="center" vertical="center"/>
    </xf>
    <xf numFmtId="0" fontId="20" fillId="2" borderId="23" xfId="0" applyFont="1" applyFill="1" applyBorder="1" applyAlignment="1">
      <alignment horizontal="center" vertical="center"/>
    </xf>
    <xf numFmtId="0" fontId="21" fillId="2" borderId="44" xfId="0" applyFont="1" applyFill="1" applyBorder="1" applyAlignment="1">
      <alignment horizontal="left" vertical="center" wrapText="1"/>
    </xf>
    <xf numFmtId="17" fontId="20" fillId="2" borderId="41" xfId="0" applyNumberFormat="1" applyFont="1" applyFill="1" applyBorder="1" applyAlignment="1">
      <alignment horizontal="center" vertical="center"/>
    </xf>
    <xf numFmtId="0" fontId="21" fillId="2" borderId="8" xfId="0" applyFont="1" applyFill="1" applyBorder="1" applyAlignment="1">
      <alignment horizontal="center" vertical="center" wrapText="1"/>
    </xf>
    <xf numFmtId="17" fontId="20" fillId="2" borderId="45" xfId="0" applyNumberFormat="1" applyFont="1" applyFill="1" applyBorder="1" applyAlignment="1">
      <alignment horizontal="center" vertical="center"/>
    </xf>
    <xf numFmtId="0" fontId="21" fillId="2" borderId="0" xfId="0" applyFont="1" applyFill="1" applyAlignment="1">
      <alignment horizontal="center" vertical="center" wrapText="1"/>
    </xf>
    <xf numFmtId="0" fontId="21" fillId="2" borderId="22" xfId="0" applyFont="1" applyFill="1" applyBorder="1" applyAlignment="1">
      <alignment horizontal="left" wrapText="1"/>
    </xf>
    <xf numFmtId="0" fontId="21" fillId="2" borderId="46"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1" fillId="2" borderId="47" xfId="0" applyFont="1" applyFill="1" applyBorder="1" applyAlignment="1">
      <alignment horizontal="left" vertical="center" wrapText="1"/>
    </xf>
    <xf numFmtId="0" fontId="21" fillId="2" borderId="48" xfId="0" applyFont="1" applyFill="1" applyBorder="1" applyAlignment="1">
      <alignment horizontal="center" vertical="center" wrapText="1"/>
    </xf>
    <xf numFmtId="0" fontId="20" fillId="2" borderId="47" xfId="0" applyFont="1" applyFill="1" applyBorder="1" applyAlignment="1">
      <alignment horizontal="center" vertical="center" wrapText="1"/>
    </xf>
    <xf numFmtId="0" fontId="21" fillId="2" borderId="20" xfId="0" applyFont="1" applyFill="1" applyBorder="1" applyAlignment="1">
      <alignment horizontal="left" vertical="center" wrapText="1"/>
    </xf>
    <xf numFmtId="0" fontId="21" fillId="2" borderId="55" xfId="0" applyFont="1" applyFill="1" applyBorder="1" applyAlignment="1">
      <alignment horizontal="left" vertical="center" wrapText="1"/>
    </xf>
    <xf numFmtId="17" fontId="20" fillId="2" borderId="56" xfId="0" applyNumberFormat="1" applyFont="1" applyFill="1" applyBorder="1" applyAlignment="1">
      <alignment horizontal="center" vertical="center" wrapText="1"/>
    </xf>
    <xf numFmtId="17" fontId="21" fillId="2" borderId="56" xfId="0" applyNumberFormat="1" applyFont="1" applyFill="1" applyBorder="1" applyAlignment="1">
      <alignment horizontal="center" vertical="center" wrapText="1"/>
    </xf>
    <xf numFmtId="0" fontId="20" fillId="2" borderId="3" xfId="0" applyFont="1" applyFill="1" applyBorder="1" applyAlignment="1">
      <alignment horizontal="center" vertical="center" wrapText="1"/>
    </xf>
    <xf numFmtId="14" fontId="20" fillId="2" borderId="16" xfId="0" applyNumberFormat="1" applyFont="1" applyFill="1" applyBorder="1" applyAlignment="1">
      <alignment horizontal="center" vertical="center" wrapText="1"/>
    </xf>
    <xf numFmtId="0" fontId="21" fillId="2" borderId="57" xfId="0" applyFont="1" applyFill="1" applyBorder="1" applyAlignment="1">
      <alignment horizontal="center" vertical="center" wrapText="1"/>
    </xf>
    <xf numFmtId="0" fontId="20" fillId="2" borderId="0" xfId="0" applyFont="1" applyFill="1" applyAlignment="1">
      <alignment horizontal="center" vertical="center" wrapText="1"/>
    </xf>
    <xf numFmtId="165" fontId="27" fillId="2" borderId="21" xfId="1" applyNumberFormat="1" applyFont="1" applyFill="1" applyBorder="1" applyAlignment="1">
      <alignment horizontal="right" vertical="center"/>
    </xf>
    <xf numFmtId="165" fontId="27" fillId="2" borderId="19" xfId="1" applyNumberFormat="1" applyFont="1" applyFill="1" applyBorder="1" applyAlignment="1">
      <alignment horizontal="right" vertical="center"/>
    </xf>
    <xf numFmtId="0" fontId="20" fillId="2" borderId="8" xfId="0" applyFont="1" applyFill="1" applyBorder="1" applyAlignment="1">
      <alignment horizontal="center" vertical="center" wrapText="1"/>
    </xf>
    <xf numFmtId="0" fontId="21" fillId="2" borderId="21" xfId="0" applyFont="1" applyFill="1" applyBorder="1" applyAlignment="1">
      <alignment horizontal="left" vertical="top" wrapText="1"/>
    </xf>
    <xf numFmtId="14" fontId="20" fillId="2" borderId="21" xfId="0" applyNumberFormat="1" applyFont="1" applyFill="1" applyBorder="1" applyAlignment="1">
      <alignment horizontal="center" vertical="center" wrapText="1"/>
    </xf>
    <xf numFmtId="14" fontId="20" fillId="2" borderId="17" xfId="0" applyNumberFormat="1" applyFont="1" applyFill="1" applyBorder="1" applyAlignment="1">
      <alignment horizontal="center" vertical="center" wrapText="1"/>
    </xf>
    <xf numFmtId="0" fontId="20" fillId="2" borderId="52" xfId="0" applyFont="1" applyFill="1" applyBorder="1" applyAlignment="1">
      <alignment horizontal="center" vertical="center" wrapText="1"/>
    </xf>
    <xf numFmtId="0" fontId="20" fillId="2" borderId="19" xfId="0" applyFont="1" applyFill="1" applyBorder="1" applyAlignment="1">
      <alignment horizontal="center" vertical="center" wrapText="1"/>
    </xf>
    <xf numFmtId="165" fontId="27" fillId="2" borderId="39" xfId="1" applyNumberFormat="1" applyFont="1" applyFill="1" applyBorder="1" applyAlignment="1">
      <alignment horizontal="right" vertical="center"/>
    </xf>
    <xf numFmtId="0" fontId="21" fillId="2" borderId="2" xfId="0" applyFont="1" applyFill="1" applyBorder="1" applyAlignment="1">
      <alignment horizontal="left" wrapText="1"/>
    </xf>
    <xf numFmtId="0" fontId="20" fillId="2" borderId="60" xfId="0" applyFont="1" applyFill="1" applyBorder="1" applyAlignment="1">
      <alignment horizontal="center" vertical="center" wrapText="1"/>
    </xf>
    <xf numFmtId="0" fontId="20" fillId="2" borderId="49" xfId="0" applyFont="1" applyFill="1" applyBorder="1" applyAlignment="1">
      <alignment horizontal="center" vertical="center" wrapText="1"/>
    </xf>
    <xf numFmtId="0" fontId="21" fillId="2" borderId="21" xfId="0" applyFont="1" applyFill="1" applyBorder="1" applyAlignment="1">
      <alignment horizontal="left" vertical="center" wrapText="1"/>
    </xf>
    <xf numFmtId="0" fontId="20" fillId="2" borderId="22" xfId="0" applyFont="1" applyFill="1" applyBorder="1" applyAlignment="1">
      <alignment horizontal="left" vertical="center" wrapText="1"/>
    </xf>
    <xf numFmtId="17" fontId="20" fillId="2" borderId="23" xfId="0" applyNumberFormat="1" applyFont="1" applyFill="1" applyBorder="1" applyAlignment="1">
      <alignment horizontal="center" vertical="center" wrapText="1"/>
    </xf>
    <xf numFmtId="165" fontId="27" fillId="2" borderId="22" xfId="1" applyNumberFormat="1" applyFont="1" applyFill="1" applyBorder="1" applyAlignment="1">
      <alignment horizontal="right" vertical="center"/>
    </xf>
    <xf numFmtId="165" fontId="47" fillId="2" borderId="60" xfId="0" applyNumberFormat="1" applyFont="1" applyFill="1" applyBorder="1" applyAlignment="1">
      <alignment horizontal="right" vertical="center" wrapText="1"/>
    </xf>
    <xf numFmtId="165" fontId="47" fillId="2" borderId="60" xfId="0" applyNumberFormat="1" applyFont="1" applyFill="1" applyBorder="1" applyAlignment="1">
      <alignment horizontal="center" vertical="center" wrapText="1"/>
    </xf>
    <xf numFmtId="165" fontId="47" fillId="2" borderId="60" xfId="1" applyNumberFormat="1" applyFont="1" applyFill="1" applyBorder="1" applyAlignment="1">
      <alignment horizontal="center" vertical="center" wrapText="1"/>
    </xf>
    <xf numFmtId="167" fontId="47" fillId="2" borderId="49" xfId="1" applyNumberFormat="1" applyFont="1" applyFill="1" applyBorder="1" applyAlignment="1">
      <alignment horizontal="center" vertical="center" wrapText="1"/>
    </xf>
    <xf numFmtId="0" fontId="32" fillId="2" borderId="20" xfId="0" applyFont="1" applyFill="1" applyBorder="1" applyAlignment="1">
      <alignment horizontal="center" vertical="center" wrapText="1"/>
    </xf>
    <xf numFmtId="0" fontId="32" fillId="2" borderId="22" xfId="0" applyFont="1" applyFill="1" applyBorder="1" applyAlignment="1">
      <alignment horizontal="center" vertical="center" wrapText="1"/>
    </xf>
    <xf numFmtId="168" fontId="20" fillId="2" borderId="2" xfId="0" applyNumberFormat="1" applyFont="1" applyFill="1" applyBorder="1" applyAlignment="1">
      <alignment horizontal="center" vertical="center" wrapText="1"/>
    </xf>
    <xf numFmtId="0" fontId="32" fillId="2" borderId="16" xfId="0" applyFont="1" applyFill="1" applyBorder="1" applyAlignment="1">
      <alignment horizontal="center" vertical="center" wrapText="1"/>
    </xf>
    <xf numFmtId="0" fontId="32" fillId="2" borderId="25" xfId="0" applyFont="1" applyFill="1" applyBorder="1" applyAlignment="1">
      <alignment horizontal="center" vertical="center" wrapText="1"/>
    </xf>
    <xf numFmtId="0" fontId="32" fillId="2" borderId="17" xfId="0" applyFont="1" applyFill="1" applyBorder="1" applyAlignment="1">
      <alignment horizontal="center" vertical="center" wrapText="1"/>
    </xf>
    <xf numFmtId="0" fontId="32" fillId="2" borderId="30" xfId="0" applyFont="1" applyFill="1" applyBorder="1" applyAlignment="1">
      <alignment horizontal="left" vertical="center" wrapText="1"/>
    </xf>
    <xf numFmtId="165" fontId="27" fillId="2" borderId="16" xfId="1" applyNumberFormat="1" applyFont="1" applyFill="1" applyBorder="1" applyAlignment="1">
      <alignment horizontal="right" vertical="center"/>
    </xf>
    <xf numFmtId="165" fontId="27" fillId="2" borderId="62" xfId="1" applyNumberFormat="1" applyFont="1" applyFill="1" applyBorder="1" applyAlignment="1">
      <alignment horizontal="right" vertical="center"/>
    </xf>
    <xf numFmtId="168" fontId="32" fillId="2" borderId="20" xfId="0" applyNumberFormat="1" applyFont="1" applyFill="1" applyBorder="1" applyAlignment="1">
      <alignment horizontal="center" vertical="center" wrapText="1"/>
    </xf>
    <xf numFmtId="0" fontId="21" fillId="2" borderId="17" xfId="0" applyFont="1" applyFill="1" applyBorder="1" applyAlignment="1">
      <alignment vertical="center" wrapText="1"/>
    </xf>
    <xf numFmtId="165" fontId="27" fillId="2" borderId="63" xfId="1" applyNumberFormat="1" applyFont="1" applyFill="1" applyBorder="1" applyAlignment="1">
      <alignment horizontal="right" vertical="center"/>
    </xf>
    <xf numFmtId="168" fontId="32" fillId="2" borderId="22" xfId="0" applyNumberFormat="1" applyFont="1" applyFill="1" applyBorder="1" applyAlignment="1">
      <alignment horizontal="center" vertical="center" wrapText="1"/>
    </xf>
    <xf numFmtId="165" fontId="27" fillId="2" borderId="2" xfId="1" applyNumberFormat="1" applyFont="1" applyFill="1" applyBorder="1" applyAlignment="1">
      <alignment horizontal="center" vertical="center"/>
    </xf>
    <xf numFmtId="168" fontId="32" fillId="2" borderId="36" xfId="0" applyNumberFormat="1" applyFont="1" applyFill="1" applyBorder="1" applyAlignment="1">
      <alignment horizontal="left" vertical="center" wrapText="1"/>
    </xf>
    <xf numFmtId="0" fontId="32" fillId="5" borderId="22" xfId="0" applyFont="1" applyFill="1" applyBorder="1" applyAlignment="1">
      <alignment horizontal="center" vertical="center" wrapText="1"/>
    </xf>
    <xf numFmtId="168" fontId="21" fillId="5" borderId="22" xfId="0" applyNumberFormat="1" applyFont="1" applyFill="1" applyBorder="1" applyAlignment="1">
      <alignment horizontal="left" vertical="center" wrapText="1"/>
    </xf>
    <xf numFmtId="17" fontId="20" fillId="5" borderId="22" xfId="0" applyNumberFormat="1" applyFont="1" applyFill="1" applyBorder="1" applyAlignment="1">
      <alignment horizontal="center" vertical="center" wrapText="1"/>
    </xf>
    <xf numFmtId="168" fontId="21" fillId="5" borderId="22" xfId="0" applyNumberFormat="1" applyFont="1" applyFill="1" applyBorder="1" applyAlignment="1">
      <alignment horizontal="center" vertical="center" wrapText="1"/>
    </xf>
    <xf numFmtId="0" fontId="21" fillId="5" borderId="22" xfId="0" applyFont="1" applyFill="1" applyBorder="1" applyAlignment="1">
      <alignment vertical="center" wrapText="1"/>
    </xf>
    <xf numFmtId="168" fontId="32" fillId="5" borderId="22" xfId="0" applyNumberFormat="1" applyFont="1" applyFill="1" applyBorder="1" applyAlignment="1">
      <alignment horizontal="center" vertical="center" wrapText="1"/>
    </xf>
    <xf numFmtId="165" fontId="27" fillId="5" borderId="22" xfId="0" applyNumberFormat="1" applyFont="1" applyFill="1" applyBorder="1" applyAlignment="1">
      <alignment horizontal="right" vertical="center"/>
    </xf>
    <xf numFmtId="165" fontId="27" fillId="5" borderId="39" xfId="0" applyNumberFormat="1" applyFont="1" applyFill="1" applyBorder="1" applyAlignment="1">
      <alignment horizontal="right" vertical="center"/>
    </xf>
    <xf numFmtId="165" fontId="27" fillId="5" borderId="2" xfId="0" applyNumberFormat="1" applyFont="1" applyFill="1" applyBorder="1" applyAlignment="1">
      <alignment horizontal="right" vertical="center"/>
    </xf>
    <xf numFmtId="168" fontId="19" fillId="2" borderId="2" xfId="0" applyNumberFormat="1" applyFont="1" applyFill="1" applyBorder="1" applyAlignment="1">
      <alignment horizontal="center" vertical="center" wrapText="1"/>
    </xf>
    <xf numFmtId="168" fontId="21" fillId="2" borderId="2" xfId="0" applyNumberFormat="1" applyFont="1" applyFill="1" applyBorder="1" applyAlignment="1">
      <alignment horizontal="left" vertical="top" wrapText="1"/>
    </xf>
    <xf numFmtId="165" fontId="33" fillId="2" borderId="2" xfId="0" applyNumberFormat="1" applyFont="1" applyFill="1" applyBorder="1" applyAlignment="1">
      <alignment horizontal="right"/>
    </xf>
    <xf numFmtId="165" fontId="32" fillId="7" borderId="2" xfId="0" applyNumberFormat="1" applyFont="1" applyFill="1" applyBorder="1" applyAlignment="1">
      <alignment horizontal="center" vertical="center" wrapText="1"/>
    </xf>
    <xf numFmtId="3" fontId="33" fillId="7" borderId="68" xfId="0" applyNumberFormat="1" applyFont="1" applyFill="1" applyBorder="1" applyAlignment="1">
      <alignment vertical="center" wrapText="1"/>
    </xf>
    <xf numFmtId="0" fontId="44" fillId="0" borderId="52" xfId="0" applyFont="1" applyBorder="1" applyAlignment="1">
      <alignment vertical="center" wrapText="1"/>
    </xf>
    <xf numFmtId="0" fontId="51" fillId="0" borderId="52" xfId="0" applyFont="1" applyBorder="1" applyAlignment="1">
      <alignment horizontal="right"/>
    </xf>
    <xf numFmtId="167" fontId="56" fillId="0" borderId="0" xfId="1" applyNumberFormat="1" applyFont="1" applyFill="1" applyBorder="1" applyAlignment="1">
      <alignment horizontal="center" vertical="center" wrapText="1"/>
    </xf>
    <xf numFmtId="0" fontId="0" fillId="2" borderId="0" xfId="0" applyFill="1"/>
    <xf numFmtId="167" fontId="9" fillId="2" borderId="0" xfId="1" applyNumberFormat="1" applyFont="1" applyFill="1"/>
    <xf numFmtId="0" fontId="22" fillId="2" borderId="0" xfId="0" applyFont="1" applyFill="1" applyAlignment="1">
      <alignment wrapText="1"/>
    </xf>
    <xf numFmtId="0" fontId="23" fillId="2" borderId="0" xfId="0" applyFont="1" applyFill="1"/>
    <xf numFmtId="0" fontId="24" fillId="2" borderId="0" xfId="0" applyFont="1" applyFill="1"/>
    <xf numFmtId="0" fontId="25" fillId="2" borderId="0" xfId="0" applyFont="1" applyFill="1"/>
    <xf numFmtId="0" fontId="3" fillId="2" borderId="0" xfId="0" applyFont="1" applyFill="1"/>
    <xf numFmtId="42" fontId="0" fillId="2" borderId="0" xfId="0" applyNumberFormat="1" applyFill="1"/>
    <xf numFmtId="0" fontId="26" fillId="2" borderId="0" xfId="0" applyFont="1" applyFill="1"/>
    <xf numFmtId="0" fontId="12" fillId="2" borderId="0" xfId="0" applyFont="1" applyFill="1"/>
    <xf numFmtId="167" fontId="27" fillId="2" borderId="0" xfId="1" applyNumberFormat="1" applyFont="1" applyFill="1" applyBorder="1" applyAlignment="1">
      <alignment horizontal="right" vertical="center"/>
    </xf>
    <xf numFmtId="167" fontId="28" fillId="2" borderId="0" xfId="1" applyNumberFormat="1" applyFont="1" applyFill="1" applyBorder="1" applyAlignment="1">
      <alignment horizontal="right" vertical="center"/>
    </xf>
    <xf numFmtId="167" fontId="29" fillId="2" borderId="0" xfId="1" applyNumberFormat="1" applyFont="1" applyFill="1" applyBorder="1" applyAlignment="1">
      <alignment horizontal="right" vertical="center"/>
    </xf>
    <xf numFmtId="0" fontId="30" fillId="2" borderId="0" xfId="0" applyFont="1" applyFill="1"/>
    <xf numFmtId="166" fontId="27" fillId="2" borderId="0" xfId="1" applyNumberFormat="1" applyFont="1" applyFill="1" applyBorder="1" applyAlignment="1">
      <alignment horizontal="right" vertical="center"/>
    </xf>
    <xf numFmtId="166" fontId="28" fillId="2" borderId="0" xfId="1" applyNumberFormat="1" applyFont="1" applyFill="1" applyBorder="1" applyAlignment="1">
      <alignment horizontal="right" vertical="center"/>
    </xf>
    <xf numFmtId="167" fontId="4" fillId="2" borderId="0" xfId="0" applyNumberFormat="1" applyFont="1" applyFill="1"/>
    <xf numFmtId="0" fontId="12" fillId="2" borderId="0" xfId="0" applyFont="1" applyFill="1" applyAlignment="1">
      <alignment wrapText="1"/>
    </xf>
    <xf numFmtId="0" fontId="6" fillId="2" borderId="0" xfId="0" applyFont="1" applyFill="1"/>
    <xf numFmtId="1" fontId="35" fillId="2" borderId="66" xfId="5" applyNumberFormat="1" applyFont="1" applyFill="1" applyBorder="1" applyAlignment="1"/>
    <xf numFmtId="0" fontId="36" fillId="2" borderId="66" xfId="5" applyFont="1" applyFill="1" applyBorder="1" applyAlignment="1"/>
    <xf numFmtId="0" fontId="36" fillId="2" borderId="0" xfId="5" applyNumberFormat="1" applyFont="1" applyFill="1" applyAlignment="1"/>
    <xf numFmtId="0" fontId="36" fillId="2" borderId="67" xfId="5" applyFont="1" applyFill="1" applyBorder="1" applyAlignment="1"/>
    <xf numFmtId="0" fontId="36" fillId="2" borderId="0" xfId="5" applyNumberFormat="1" applyFont="1" applyFill="1" applyBorder="1" applyAlignment="1"/>
    <xf numFmtId="1" fontId="38" fillId="2" borderId="0" xfId="5" applyNumberFormat="1" applyFont="1" applyFill="1" applyBorder="1" applyAlignment="1">
      <alignment wrapText="1"/>
    </xf>
    <xf numFmtId="0" fontId="39" fillId="2" borderId="0" xfId="5" applyFont="1" applyFill="1" applyBorder="1" applyAlignment="1"/>
    <xf numFmtId="0" fontId="36" fillId="2" borderId="0" xfId="5" applyFont="1" applyFill="1" applyBorder="1" applyAlignment="1"/>
    <xf numFmtId="169" fontId="40" fillId="2" borderId="0" xfId="5" applyNumberFormat="1" applyFont="1" applyFill="1" applyBorder="1" applyAlignment="1">
      <alignment wrapText="1"/>
    </xf>
    <xf numFmtId="0" fontId="34" fillId="2" borderId="0" xfId="5" applyFill="1" applyBorder="1">
      <alignment vertical="top" wrapText="1"/>
    </xf>
    <xf numFmtId="0" fontId="42" fillId="2" borderId="0" xfId="5" applyNumberFormat="1" applyFont="1" applyFill="1" applyBorder="1" applyAlignment="1"/>
    <xf numFmtId="0" fontId="43" fillId="2" borderId="0" xfId="5" applyFont="1" applyFill="1" applyBorder="1">
      <alignment vertical="top" wrapText="1"/>
    </xf>
    <xf numFmtId="0" fontId="39" fillId="0" borderId="0" xfId="5" applyFont="1" applyBorder="1" applyAlignment="1"/>
    <xf numFmtId="0" fontId="42" fillId="3" borderId="0" xfId="5" applyNumberFormat="1" applyFont="1" applyFill="1" applyBorder="1" applyAlignment="1"/>
    <xf numFmtId="0" fontId="43" fillId="3" borderId="0" xfId="5" applyFont="1" applyFill="1" applyBorder="1">
      <alignment vertical="top" wrapText="1"/>
    </xf>
    <xf numFmtId="0" fontId="34" fillId="0" borderId="0" xfId="5" applyBorder="1">
      <alignment vertical="top" wrapText="1"/>
    </xf>
    <xf numFmtId="169" fontId="41" fillId="0" borderId="0" xfId="0" applyNumberFormat="1" applyFont="1" applyAlignment="1">
      <alignment wrapText="1"/>
    </xf>
    <xf numFmtId="0" fontId="32" fillId="2" borderId="68" xfId="5" applyNumberFormat="1" applyFont="1" applyFill="1" applyBorder="1" applyAlignment="1">
      <alignment horizontal="center" vertical="center" wrapText="1"/>
    </xf>
    <xf numFmtId="0" fontId="20" fillId="2" borderId="68" xfId="5" applyNumberFormat="1" applyFont="1" applyFill="1" applyBorder="1" applyAlignment="1">
      <alignment horizontal="center" vertical="center" wrapText="1"/>
    </xf>
    <xf numFmtId="0" fontId="21" fillId="2" borderId="68" xfId="5" applyNumberFormat="1" applyFont="1" applyFill="1" applyBorder="1" applyAlignment="1">
      <alignment horizontal="center" vertical="center" wrapText="1"/>
    </xf>
    <xf numFmtId="0" fontId="21" fillId="6" borderId="68" xfId="5" applyNumberFormat="1" applyFont="1" applyFill="1" applyBorder="1" applyAlignment="1">
      <alignment horizontal="center" vertical="center" wrapText="1"/>
    </xf>
    <xf numFmtId="0" fontId="20" fillId="6" borderId="68" xfId="5" applyNumberFormat="1" applyFont="1" applyFill="1" applyBorder="1" applyAlignment="1">
      <alignment horizontal="center" vertical="center" wrapText="1"/>
    </xf>
    <xf numFmtId="170" fontId="27" fillId="6" borderId="68" xfId="5" applyNumberFormat="1" applyFont="1" applyFill="1" applyBorder="1" applyAlignment="1">
      <alignment horizontal="right" vertical="center"/>
    </xf>
    <xf numFmtId="0" fontId="32" fillId="6" borderId="68" xfId="5" applyNumberFormat="1" applyFont="1" applyFill="1" applyBorder="1" applyAlignment="1">
      <alignment horizontal="center" vertical="center" wrapText="1"/>
    </xf>
    <xf numFmtId="17" fontId="20" fillId="2" borderId="68" xfId="5" applyNumberFormat="1" applyFont="1" applyFill="1" applyBorder="1" applyAlignment="1">
      <alignment horizontal="center" vertical="center" wrapText="1"/>
    </xf>
    <xf numFmtId="0" fontId="60" fillId="6" borderId="68" xfId="5" applyNumberFormat="1" applyFont="1" applyFill="1" applyBorder="1" applyAlignment="1">
      <alignment horizontal="center" vertical="center" wrapText="1"/>
    </xf>
    <xf numFmtId="1" fontId="21" fillId="2" borderId="68" xfId="5" applyNumberFormat="1" applyFont="1" applyFill="1" applyBorder="1" applyAlignment="1">
      <alignment horizontal="center" vertical="center" wrapText="1"/>
    </xf>
    <xf numFmtId="1" fontId="21" fillId="6" borderId="68" xfId="5" applyNumberFormat="1" applyFont="1" applyFill="1" applyBorder="1" applyAlignment="1">
      <alignment horizontal="center" vertical="center" wrapText="1"/>
    </xf>
    <xf numFmtId="1" fontId="20" fillId="6" borderId="68" xfId="5" applyNumberFormat="1" applyFont="1" applyFill="1" applyBorder="1" applyAlignment="1">
      <alignment horizontal="center" vertical="center" wrapText="1"/>
    </xf>
    <xf numFmtId="171" fontId="27" fillId="6" borderId="68" xfId="5" applyNumberFormat="1" applyFont="1" applyFill="1" applyBorder="1" applyAlignment="1">
      <alignment horizontal="right" vertical="center"/>
    </xf>
    <xf numFmtId="1" fontId="65" fillId="6" borderId="68" xfId="5" applyNumberFormat="1" applyFont="1" applyFill="1" applyBorder="1" applyAlignment="1">
      <alignment horizontal="center" vertical="center" wrapText="1"/>
    </xf>
    <xf numFmtId="1" fontId="47" fillId="6" borderId="68" xfId="5" applyNumberFormat="1" applyFont="1" applyFill="1" applyBorder="1" applyAlignment="1">
      <alignment horizontal="center" vertical="center" wrapText="1"/>
    </xf>
    <xf numFmtId="170" fontId="47" fillId="6" borderId="68" xfId="5" applyNumberFormat="1" applyFont="1" applyFill="1" applyBorder="1" applyAlignment="1">
      <alignment horizontal="right" vertical="center"/>
    </xf>
    <xf numFmtId="3" fontId="47" fillId="6" borderId="68" xfId="5" applyNumberFormat="1" applyFont="1" applyFill="1" applyBorder="1" applyAlignment="1">
      <alignment horizontal="right" vertical="center"/>
    </xf>
    <xf numFmtId="1" fontId="35" fillId="2" borderId="100" xfId="5" applyNumberFormat="1" applyFont="1" applyFill="1" applyBorder="1" applyAlignment="1"/>
    <xf numFmtId="1" fontId="60" fillId="2" borderId="101" xfId="5" applyNumberFormat="1" applyFont="1" applyFill="1" applyBorder="1" applyAlignment="1">
      <alignment horizontal="left" vertical="center" wrapText="1"/>
    </xf>
    <xf numFmtId="1" fontId="61" fillId="2" borderId="101" xfId="5" applyNumberFormat="1" applyFont="1" applyFill="1" applyBorder="1" applyAlignment="1">
      <alignment horizontal="center" vertical="center" wrapText="1"/>
    </xf>
    <xf numFmtId="17" fontId="62" fillId="2" borderId="101" xfId="5" applyNumberFormat="1" applyFont="1" applyFill="1" applyBorder="1" applyAlignment="1">
      <alignment horizontal="center" vertical="center" wrapText="1"/>
    </xf>
    <xf numFmtId="1" fontId="62" fillId="2" borderId="101" xfId="5" applyNumberFormat="1" applyFont="1" applyFill="1" applyBorder="1" applyAlignment="1">
      <alignment horizontal="center" vertical="center" wrapText="1"/>
    </xf>
    <xf numFmtId="170" fontId="33" fillId="2" borderId="101" xfId="5" applyNumberFormat="1" applyFont="1" applyFill="1" applyBorder="1" applyAlignment="1">
      <alignment horizontal="right"/>
    </xf>
    <xf numFmtId="171" fontId="63" fillId="2" borderId="101" xfId="5" applyNumberFormat="1" applyFont="1" applyFill="1" applyBorder="1" applyAlignment="1">
      <alignment horizontal="right"/>
    </xf>
    <xf numFmtId="170" fontId="63" fillId="2" borderId="102" xfId="5" applyNumberFormat="1" applyFont="1" applyFill="1" applyBorder="1" applyAlignment="1">
      <alignment horizontal="right"/>
    </xf>
    <xf numFmtId="171" fontId="63" fillId="2" borderId="69" xfId="5" applyNumberFormat="1" applyFont="1" applyFill="1" applyBorder="1" applyAlignment="1">
      <alignment horizontal="right"/>
    </xf>
    <xf numFmtId="170" fontId="63" fillId="2" borderId="69" xfId="5" applyNumberFormat="1" applyFont="1" applyFill="1" applyBorder="1" applyAlignment="1">
      <alignment horizontal="right"/>
    </xf>
    <xf numFmtId="0" fontId="21" fillId="6" borderId="68" xfId="5" applyNumberFormat="1" applyFont="1" applyFill="1" applyBorder="1" applyAlignment="1">
      <alignment horizontal="left" vertical="center" wrapText="1"/>
    </xf>
    <xf numFmtId="17" fontId="20" fillId="6" borderId="68" xfId="5" applyNumberFormat="1" applyFont="1" applyFill="1" applyBorder="1" applyAlignment="1">
      <alignment horizontal="center" vertical="center" wrapText="1"/>
    </xf>
    <xf numFmtId="170" fontId="27" fillId="6" borderId="68" xfId="5" applyNumberFormat="1" applyFont="1" applyFill="1" applyBorder="1" applyAlignment="1">
      <alignment vertical="center"/>
    </xf>
    <xf numFmtId="170" fontId="58" fillId="6" borderId="68" xfId="5" applyNumberFormat="1" applyFont="1" applyFill="1" applyBorder="1" applyAlignment="1"/>
    <xf numFmtId="17" fontId="20" fillId="2" borderId="68" xfId="5" applyNumberFormat="1" applyFont="1" applyFill="1" applyBorder="1" applyAlignment="1">
      <alignment vertical="center" wrapText="1"/>
    </xf>
    <xf numFmtId="1" fontId="20" fillId="2" borderId="68" xfId="5" applyNumberFormat="1" applyFont="1" applyFill="1" applyBorder="1" applyAlignment="1">
      <alignment horizontal="center" vertical="center" wrapText="1"/>
    </xf>
    <xf numFmtId="170" fontId="27" fillId="2" borderId="68" xfId="5" applyNumberFormat="1" applyFont="1" applyFill="1" applyBorder="1" applyAlignment="1">
      <alignment horizontal="right" vertical="center"/>
    </xf>
    <xf numFmtId="1" fontId="21" fillId="2" borderId="68" xfId="5" applyNumberFormat="1" applyFont="1" applyFill="1" applyBorder="1" applyAlignment="1">
      <alignment vertical="center" wrapText="1"/>
    </xf>
    <xf numFmtId="3" fontId="20" fillId="2" borderId="68" xfId="5" applyNumberFormat="1" applyFont="1" applyFill="1" applyBorder="1" applyAlignment="1">
      <alignment vertical="center" wrapText="1"/>
    </xf>
    <xf numFmtId="170" fontId="27" fillId="2" borderId="68" xfId="5" applyNumberFormat="1" applyFont="1" applyFill="1" applyBorder="1" applyAlignment="1">
      <alignment vertical="center"/>
    </xf>
    <xf numFmtId="167" fontId="56" fillId="0" borderId="0" xfId="1" applyNumberFormat="1" applyFont="1" applyFill="1" applyBorder="1" applyAlignment="1">
      <alignment horizontal="right" vertical="center" wrapText="1"/>
    </xf>
    <xf numFmtId="0" fontId="48" fillId="7" borderId="97" xfId="0" applyFont="1" applyFill="1" applyBorder="1" applyAlignment="1">
      <alignment vertical="center" wrapText="1"/>
    </xf>
    <xf numFmtId="0" fontId="3" fillId="2" borderId="0" xfId="0" applyFont="1" applyFill="1" applyAlignment="1">
      <alignment horizontal="right"/>
    </xf>
    <xf numFmtId="0" fontId="12" fillId="2" borderId="0" xfId="0" applyFont="1" applyFill="1" applyAlignment="1">
      <alignment horizontal="left"/>
    </xf>
    <xf numFmtId="0" fontId="15" fillId="2" borderId="0" xfId="0" applyFont="1" applyFill="1" applyAlignment="1">
      <alignment horizontal="center"/>
    </xf>
    <xf numFmtId="165" fontId="15" fillId="2" borderId="0" xfId="0" applyNumberFormat="1" applyFont="1" applyFill="1" applyAlignment="1">
      <alignment horizontal="center"/>
    </xf>
    <xf numFmtId="0" fontId="16" fillId="2" borderId="0" xfId="0" applyFont="1" applyFill="1" applyAlignment="1">
      <alignment horizontal="center"/>
    </xf>
    <xf numFmtId="0" fontId="16" fillId="2" borderId="0" xfId="0" applyFont="1" applyFill="1" applyAlignment="1">
      <alignment horizontal="right"/>
    </xf>
    <xf numFmtId="168" fontId="32" fillId="2" borderId="25" xfId="0" applyNumberFormat="1" applyFont="1" applyFill="1" applyBorder="1" applyAlignment="1">
      <alignment horizontal="center" vertical="center" wrapText="1"/>
    </xf>
    <xf numFmtId="168" fontId="21" fillId="2" borderId="21" xfId="0" applyNumberFormat="1" applyFont="1" applyFill="1" applyBorder="1" applyAlignment="1">
      <alignment horizontal="left" vertical="center" wrapText="1"/>
    </xf>
    <xf numFmtId="168" fontId="21" fillId="2" borderId="21" xfId="0" applyNumberFormat="1" applyFont="1" applyFill="1" applyBorder="1" applyAlignment="1">
      <alignment horizontal="center" vertical="center" wrapText="1"/>
    </xf>
    <xf numFmtId="168" fontId="32" fillId="2" borderId="21" xfId="0" applyNumberFormat="1" applyFont="1" applyFill="1" applyBorder="1" applyAlignment="1">
      <alignment horizontal="center" vertical="center" wrapText="1"/>
    </xf>
    <xf numFmtId="168" fontId="21" fillId="2" borderId="83" xfId="0" applyNumberFormat="1" applyFont="1" applyFill="1" applyBorder="1" applyAlignment="1">
      <alignment horizontal="left" vertical="center" wrapText="1"/>
    </xf>
    <xf numFmtId="17" fontId="20" fillId="2" borderId="83" xfId="0" applyNumberFormat="1" applyFont="1" applyFill="1" applyBorder="1" applyAlignment="1">
      <alignment horizontal="center" vertical="center" wrapText="1"/>
    </xf>
    <xf numFmtId="168" fontId="21" fillId="2" borderId="83" xfId="0" applyNumberFormat="1" applyFont="1" applyFill="1" applyBorder="1" applyAlignment="1">
      <alignment horizontal="center" vertical="center" wrapText="1"/>
    </xf>
    <xf numFmtId="0" fontId="21" fillId="2" borderId="83" xfId="0" applyFont="1" applyFill="1" applyBorder="1" applyAlignment="1">
      <alignment vertical="center" wrapText="1"/>
    </xf>
    <xf numFmtId="168" fontId="32" fillId="2" borderId="83" xfId="0" applyNumberFormat="1" applyFont="1" applyFill="1" applyBorder="1" applyAlignment="1">
      <alignment horizontal="center" vertical="center" wrapText="1"/>
    </xf>
    <xf numFmtId="165" fontId="27" fillId="2" borderId="83" xfId="1" applyNumberFormat="1" applyFont="1" applyFill="1" applyBorder="1" applyAlignment="1">
      <alignment horizontal="right" vertical="center"/>
    </xf>
    <xf numFmtId="168" fontId="32" fillId="2" borderId="9" xfId="0" applyNumberFormat="1" applyFont="1" applyFill="1" applyBorder="1" applyAlignment="1">
      <alignment horizontal="center" vertical="center" wrapText="1"/>
    </xf>
    <xf numFmtId="17" fontId="20" fillId="2" borderId="9" xfId="0" applyNumberFormat="1" applyFont="1" applyFill="1" applyBorder="1" applyAlignment="1">
      <alignment horizontal="center" vertical="center" wrapText="1"/>
    </xf>
    <xf numFmtId="168" fontId="21" fillId="2" borderId="9" xfId="0" applyNumberFormat="1" applyFont="1" applyFill="1" applyBorder="1" applyAlignment="1">
      <alignment horizontal="center" vertical="center" wrapText="1"/>
    </xf>
    <xf numFmtId="0" fontId="21" fillId="2" borderId="9" xfId="0" applyFont="1" applyFill="1" applyBorder="1" applyAlignment="1">
      <alignment vertical="center" wrapText="1"/>
    </xf>
    <xf numFmtId="165" fontId="27" fillId="2" borderId="9" xfId="1" applyNumberFormat="1" applyFont="1" applyFill="1" applyBorder="1" applyAlignment="1">
      <alignment horizontal="right" vertical="center"/>
    </xf>
    <xf numFmtId="165" fontId="27" fillId="2" borderId="16" xfId="1" applyNumberFormat="1" applyFont="1" applyFill="1" applyBorder="1" applyAlignment="1">
      <alignment horizontal="center" vertical="center"/>
    </xf>
    <xf numFmtId="166" fontId="27" fillId="2" borderId="19" xfId="0" applyNumberFormat="1" applyFont="1" applyFill="1" applyBorder="1" applyAlignment="1">
      <alignment vertical="center"/>
    </xf>
    <xf numFmtId="3" fontId="27" fillId="2" borderId="2" xfId="1" applyNumberFormat="1" applyFont="1" applyFill="1" applyBorder="1" applyAlignment="1">
      <alignment horizontal="right" vertical="center"/>
    </xf>
    <xf numFmtId="3" fontId="27" fillId="2" borderId="23" xfId="1" applyNumberFormat="1" applyFont="1" applyFill="1" applyBorder="1" applyAlignment="1">
      <alignment horizontal="right" vertical="center"/>
    </xf>
    <xf numFmtId="3" fontId="47" fillId="2" borderId="2" xfId="1" applyNumberFormat="1" applyFont="1" applyFill="1" applyBorder="1" applyAlignment="1">
      <alignment horizontal="right" vertical="center" wrapText="1"/>
    </xf>
    <xf numFmtId="0" fontId="32" fillId="7" borderId="3" xfId="0" applyFont="1" applyFill="1" applyBorder="1" applyAlignment="1">
      <alignment horizontal="left" vertical="center" wrapText="1"/>
    </xf>
    <xf numFmtId="0" fontId="32" fillId="7" borderId="9" xfId="0" applyFont="1" applyFill="1" applyBorder="1" applyAlignment="1">
      <alignment horizontal="center" vertical="center" wrapText="1"/>
    </xf>
    <xf numFmtId="0" fontId="32" fillId="7" borderId="10" xfId="0" applyFont="1" applyFill="1" applyBorder="1" applyAlignment="1">
      <alignment horizontal="center" vertical="center" wrapText="1"/>
    </xf>
    <xf numFmtId="14" fontId="32" fillId="7" borderId="11" xfId="0" applyNumberFormat="1" applyFont="1" applyFill="1" applyBorder="1" applyAlignment="1">
      <alignment horizontal="center" vertical="center" wrapText="1"/>
    </xf>
    <xf numFmtId="0" fontId="32" fillId="7" borderId="12" xfId="0" applyFont="1" applyFill="1" applyBorder="1" applyAlignment="1">
      <alignment horizontal="center" vertical="center" wrapText="1"/>
    </xf>
    <xf numFmtId="0" fontId="32" fillId="7" borderId="13" xfId="0" applyFont="1" applyFill="1" applyBorder="1" applyAlignment="1">
      <alignment horizontal="center" vertical="center" wrapText="1"/>
    </xf>
    <xf numFmtId="0" fontId="32" fillId="7" borderId="14" xfId="0" applyFont="1" applyFill="1" applyBorder="1" applyAlignment="1">
      <alignment horizontal="center" vertical="center" wrapText="1"/>
    </xf>
    <xf numFmtId="165" fontId="32" fillId="7" borderId="15" xfId="0" applyNumberFormat="1" applyFont="1" applyFill="1" applyBorder="1" applyAlignment="1">
      <alignment horizontal="center" vertical="center" wrapText="1"/>
    </xf>
    <xf numFmtId="165" fontId="32" fillId="7" borderId="9" xfId="0" applyNumberFormat="1" applyFont="1" applyFill="1" applyBorder="1" applyAlignment="1">
      <alignment horizontal="center" vertical="center" wrapText="1"/>
    </xf>
    <xf numFmtId="0" fontId="32" fillId="7" borderId="3" xfId="0" applyFont="1" applyFill="1" applyBorder="1" applyAlignment="1">
      <alignment horizontal="center" vertical="center" wrapText="1"/>
    </xf>
    <xf numFmtId="0" fontId="32" fillId="7" borderId="2" xfId="0" applyFont="1" applyFill="1" applyBorder="1" applyAlignment="1">
      <alignment horizontal="center" vertical="center" wrapText="1"/>
    </xf>
    <xf numFmtId="165" fontId="32" fillId="2" borderId="17" xfId="0" applyNumberFormat="1" applyFont="1" applyFill="1" applyBorder="1" applyAlignment="1">
      <alignment horizontal="right" vertical="center" wrapText="1"/>
    </xf>
    <xf numFmtId="165" fontId="32" fillId="2" borderId="17" xfId="1" applyNumberFormat="1" applyFont="1" applyFill="1" applyBorder="1" applyAlignment="1">
      <alignment horizontal="center" vertical="center"/>
    </xf>
    <xf numFmtId="3" fontId="27" fillId="2" borderId="19" xfId="0" applyNumberFormat="1" applyFont="1" applyFill="1" applyBorder="1" applyAlignment="1">
      <alignment vertical="center"/>
    </xf>
    <xf numFmtId="3" fontId="27" fillId="2" borderId="2" xfId="2" applyNumberFormat="1" applyFont="1" applyFill="1" applyBorder="1" applyAlignment="1">
      <alignment horizontal="right" vertical="center" wrapText="1"/>
    </xf>
    <xf numFmtId="3" fontId="27" fillId="2" borderId="2" xfId="0" applyNumberFormat="1" applyFont="1" applyFill="1" applyBorder="1" applyAlignment="1">
      <alignment horizontal="right" vertical="center" wrapText="1"/>
    </xf>
    <xf numFmtId="165" fontId="32" fillId="2" borderId="2" xfId="0" applyNumberFormat="1" applyFont="1" applyFill="1" applyBorder="1" applyAlignment="1">
      <alignment horizontal="right" vertical="center" wrapText="1"/>
    </xf>
    <xf numFmtId="165" fontId="32" fillId="2" borderId="21" xfId="1" applyNumberFormat="1" applyFont="1" applyFill="1" applyBorder="1" applyAlignment="1">
      <alignment horizontal="center" vertical="center" wrapText="1"/>
    </xf>
    <xf numFmtId="165" fontId="32" fillId="2" borderId="21" xfId="0" applyNumberFormat="1" applyFont="1" applyFill="1" applyBorder="1" applyAlignment="1">
      <alignment horizontal="right" vertical="center" wrapText="1"/>
    </xf>
    <xf numFmtId="165" fontId="32" fillId="2" borderId="21" xfId="1" applyNumberFormat="1" applyFont="1" applyFill="1" applyBorder="1" applyAlignment="1">
      <alignment horizontal="right" vertical="center" wrapText="1"/>
    </xf>
    <xf numFmtId="165" fontId="32" fillId="2" borderId="2" xfId="1" applyNumberFormat="1" applyFont="1" applyFill="1" applyBorder="1" applyAlignment="1">
      <alignment horizontal="center" vertical="center"/>
    </xf>
    <xf numFmtId="165" fontId="32" fillId="2" borderId="2" xfId="1" applyNumberFormat="1" applyFont="1" applyFill="1" applyBorder="1" applyAlignment="1">
      <alignment horizontal="right" vertical="center"/>
    </xf>
    <xf numFmtId="165" fontId="32" fillId="2" borderId="21" xfId="1" applyNumberFormat="1" applyFont="1" applyFill="1" applyBorder="1" applyAlignment="1">
      <alignment horizontal="right" vertical="center"/>
    </xf>
    <xf numFmtId="3" fontId="27" fillId="5" borderId="2" xfId="0" applyNumberFormat="1" applyFont="1" applyFill="1" applyBorder="1" applyAlignment="1">
      <alignment horizontal="right" vertical="center" wrapText="1"/>
    </xf>
    <xf numFmtId="165" fontId="32" fillId="2" borderId="23" xfId="1" applyNumberFormat="1" applyFont="1" applyFill="1" applyBorder="1" applyAlignment="1">
      <alignment vertical="center"/>
    </xf>
    <xf numFmtId="3" fontId="27" fillId="2" borderId="2" xfId="1" applyNumberFormat="1" applyFont="1" applyFill="1" applyBorder="1" applyAlignment="1">
      <alignment horizontal="right" vertical="center" wrapText="1"/>
    </xf>
    <xf numFmtId="3" fontId="20" fillId="2" borderId="2" xfId="1" applyNumberFormat="1" applyFont="1" applyFill="1" applyBorder="1" applyAlignment="1">
      <alignment horizontal="right" vertical="center" wrapText="1"/>
    </xf>
    <xf numFmtId="0" fontId="32" fillId="2" borderId="17" xfId="0" applyFont="1" applyFill="1" applyBorder="1" applyAlignment="1">
      <alignment horizontal="center" vertical="center"/>
    </xf>
    <xf numFmtId="165" fontId="32" fillId="2" borderId="16" xfId="1" applyNumberFormat="1" applyFont="1" applyFill="1" applyBorder="1" applyAlignment="1">
      <alignment horizontal="center" vertical="center"/>
    </xf>
    <xf numFmtId="0" fontId="32" fillId="2" borderId="2" xfId="0" applyFont="1" applyFill="1" applyBorder="1" applyAlignment="1">
      <alignment horizontal="center" vertical="center"/>
    </xf>
    <xf numFmtId="165" fontId="32" fillId="2" borderId="21" xfId="1" applyNumberFormat="1" applyFont="1" applyFill="1" applyBorder="1" applyAlignment="1">
      <alignment horizontal="center" vertical="center"/>
    </xf>
    <xf numFmtId="0" fontId="32" fillId="2" borderId="24" xfId="0" applyFont="1" applyFill="1" applyBorder="1" applyAlignment="1">
      <alignment horizontal="center" vertical="center"/>
    </xf>
    <xf numFmtId="3" fontId="27" fillId="2" borderId="21" xfId="1" applyNumberFormat="1" applyFont="1" applyFill="1" applyBorder="1" applyAlignment="1">
      <alignment horizontal="right" vertical="center"/>
    </xf>
    <xf numFmtId="3" fontId="27" fillId="2" borderId="21" xfId="0" applyNumberFormat="1" applyFont="1" applyFill="1" applyBorder="1" applyAlignment="1">
      <alignment horizontal="right" vertical="center" wrapText="1"/>
    </xf>
    <xf numFmtId="165" fontId="64" fillId="2" borderId="9" xfId="1" applyNumberFormat="1" applyFont="1" applyFill="1" applyBorder="1" applyAlignment="1">
      <alignment horizontal="right" vertical="center" wrapText="1"/>
    </xf>
    <xf numFmtId="165" fontId="47" fillId="2" borderId="9" xfId="0" applyNumberFormat="1" applyFont="1" applyFill="1" applyBorder="1"/>
    <xf numFmtId="165" fontId="47" fillId="2" borderId="3" xfId="0" applyNumberFormat="1" applyFont="1" applyFill="1" applyBorder="1"/>
    <xf numFmtId="3" fontId="47" fillId="2" borderId="2" xfId="0" applyNumberFormat="1" applyFont="1" applyFill="1" applyBorder="1"/>
    <xf numFmtId="3" fontId="47" fillId="2" borderId="2" xfId="0" applyNumberFormat="1" applyFont="1" applyFill="1" applyBorder="1" applyAlignment="1">
      <alignment horizontal="right"/>
    </xf>
    <xf numFmtId="3" fontId="47" fillId="2" borderId="22" xfId="0" applyNumberFormat="1" applyFont="1" applyFill="1" applyBorder="1" applyAlignment="1">
      <alignment horizontal="right"/>
    </xf>
    <xf numFmtId="0" fontId="60" fillId="2" borderId="26" xfId="0" applyFont="1" applyFill="1" applyBorder="1" applyAlignment="1">
      <alignment horizontal="left" vertical="center" wrapText="1"/>
    </xf>
    <xf numFmtId="0" fontId="61" fillId="2" borderId="0" xfId="0" applyFont="1" applyFill="1" applyAlignment="1">
      <alignment horizontal="left" vertical="center" wrapText="1"/>
    </xf>
    <xf numFmtId="0" fontId="67" fillId="2" borderId="24" xfId="0" applyFont="1" applyFill="1" applyBorder="1" applyAlignment="1">
      <alignment horizontal="left" vertical="center" wrapText="1"/>
    </xf>
    <xf numFmtId="0" fontId="67" fillId="2" borderId="27" xfId="0" applyFont="1" applyFill="1" applyBorder="1" applyAlignment="1">
      <alignment horizontal="center" vertical="center" wrapText="1"/>
    </xf>
    <xf numFmtId="0" fontId="67" fillId="2" borderId="0" xfId="0" applyFont="1" applyFill="1" applyAlignment="1">
      <alignment horizontal="left" vertical="center" wrapText="1"/>
    </xf>
    <xf numFmtId="165" fontId="59" fillId="2" borderId="0" xfId="1" applyNumberFormat="1" applyFont="1" applyFill="1" applyBorder="1" applyAlignment="1">
      <alignment horizontal="right" vertical="center" wrapText="1"/>
    </xf>
    <xf numFmtId="165" fontId="33" fillId="2" borderId="0" xfId="0" applyNumberFormat="1" applyFont="1" applyFill="1"/>
    <xf numFmtId="3" fontId="33" fillId="2" borderId="0" xfId="0" applyNumberFormat="1" applyFont="1" applyFill="1"/>
    <xf numFmtId="3" fontId="33" fillId="2" borderId="2" xfId="0" applyNumberFormat="1" applyFont="1" applyFill="1" applyBorder="1" applyAlignment="1">
      <alignment horizontal="right"/>
    </xf>
    <xf numFmtId="3" fontId="33" fillId="2" borderId="17" xfId="0" applyNumberFormat="1" applyFont="1" applyFill="1" applyBorder="1" applyAlignment="1">
      <alignment horizontal="right"/>
    </xf>
    <xf numFmtId="0" fontId="64" fillId="2" borderId="3" xfId="0" applyFont="1" applyFill="1" applyBorder="1" applyAlignment="1">
      <alignment vertical="center"/>
    </xf>
    <xf numFmtId="0" fontId="64" fillId="2" borderId="4" xfId="0" applyFont="1" applyFill="1" applyBorder="1" applyAlignment="1">
      <alignment vertical="center"/>
    </xf>
    <xf numFmtId="17" fontId="20" fillId="2" borderId="38" xfId="0" applyNumberFormat="1" applyFont="1" applyFill="1" applyBorder="1" applyAlignment="1">
      <alignment horizontal="center" vertical="center" wrapText="1"/>
    </xf>
    <xf numFmtId="165" fontId="68" fillId="2" borderId="2" xfId="0" applyNumberFormat="1" applyFont="1" applyFill="1" applyBorder="1"/>
    <xf numFmtId="0" fontId="64" fillId="2" borderId="7" xfId="0" applyFont="1" applyFill="1" applyBorder="1" applyAlignment="1">
      <alignment vertical="center"/>
    </xf>
    <xf numFmtId="0" fontId="64" fillId="2" borderId="8" xfId="0" applyFont="1" applyFill="1" applyBorder="1" applyAlignment="1">
      <alignment vertical="center"/>
    </xf>
    <xf numFmtId="0" fontId="68" fillId="2" borderId="2" xfId="0" applyFont="1" applyFill="1" applyBorder="1"/>
    <xf numFmtId="170" fontId="58" fillId="2" borderId="68" xfId="5" applyNumberFormat="1" applyFont="1" applyFill="1" applyBorder="1" applyAlignment="1">
      <alignment vertical="center"/>
    </xf>
    <xf numFmtId="1" fontId="68" fillId="2" borderId="68" xfId="5" applyNumberFormat="1" applyFont="1" applyFill="1" applyBorder="1" applyAlignment="1"/>
    <xf numFmtId="14" fontId="32" fillId="7" borderId="68" xfId="0" applyNumberFormat="1" applyFont="1" applyFill="1" applyBorder="1" applyAlignment="1">
      <alignment horizontal="center" vertical="center" wrapText="1"/>
    </xf>
    <xf numFmtId="0" fontId="32" fillId="7" borderId="68" xfId="0" applyFont="1" applyFill="1" applyBorder="1" applyAlignment="1">
      <alignment horizontal="center" vertical="center" wrapText="1"/>
    </xf>
    <xf numFmtId="165" fontId="62" fillId="7" borderId="68" xfId="0" applyNumberFormat="1" applyFont="1" applyFill="1" applyBorder="1" applyAlignment="1">
      <alignment horizontal="right" vertical="center" wrapText="1"/>
    </xf>
    <xf numFmtId="165" fontId="32" fillId="7" borderId="68" xfId="0" applyNumberFormat="1" applyFont="1" applyFill="1" applyBorder="1" applyAlignment="1">
      <alignment horizontal="center" vertical="center" wrapText="1"/>
    </xf>
    <xf numFmtId="3" fontId="27" fillId="2" borderId="22" xfId="1" applyNumberFormat="1" applyFont="1" applyFill="1" applyBorder="1" applyAlignment="1">
      <alignment horizontal="right" vertical="center"/>
    </xf>
    <xf numFmtId="3" fontId="47" fillId="2" borderId="61" xfId="1" applyNumberFormat="1" applyFont="1" applyFill="1" applyBorder="1" applyAlignment="1">
      <alignment horizontal="right" vertical="center" wrapText="1"/>
    </xf>
    <xf numFmtId="166" fontId="27" fillId="2" borderId="52" xfId="0" applyNumberFormat="1" applyFont="1" applyFill="1" applyBorder="1" applyAlignment="1">
      <alignment vertical="center"/>
    </xf>
    <xf numFmtId="167" fontId="47" fillId="2" borderId="2" xfId="1" applyNumberFormat="1" applyFont="1" applyFill="1" applyBorder="1" applyAlignment="1">
      <alignment horizontal="center" vertical="center" wrapText="1"/>
    </xf>
    <xf numFmtId="166" fontId="27" fillId="2" borderId="19" xfId="1" applyNumberFormat="1" applyFont="1" applyFill="1" applyBorder="1" applyAlignment="1">
      <alignment vertical="center"/>
    </xf>
    <xf numFmtId="166" fontId="27" fillId="2" borderId="23" xfId="1" applyNumberFormat="1" applyFont="1" applyFill="1" applyBorder="1" applyAlignment="1">
      <alignment vertical="center"/>
    </xf>
    <xf numFmtId="3" fontId="27" fillId="2" borderId="23" xfId="1" applyNumberFormat="1" applyFont="1" applyFill="1" applyBorder="1" applyAlignment="1">
      <alignment vertical="center"/>
    </xf>
    <xf numFmtId="3" fontId="27" fillId="2" borderId="21" xfId="1" applyNumberFormat="1" applyFont="1" applyFill="1" applyBorder="1" applyAlignment="1">
      <alignment vertical="center"/>
    </xf>
    <xf numFmtId="3" fontId="27" fillId="2" borderId="16" xfId="1" applyNumberFormat="1" applyFont="1" applyFill="1" applyBorder="1" applyAlignment="1">
      <alignment vertical="center"/>
    </xf>
    <xf numFmtId="3" fontId="27" fillId="2" borderId="17" xfId="1" applyNumberFormat="1" applyFont="1" applyFill="1" applyBorder="1" applyAlignment="1">
      <alignment vertical="center"/>
    </xf>
    <xf numFmtId="3" fontId="33" fillId="2" borderId="19" xfId="0" applyNumberFormat="1" applyFont="1" applyFill="1" applyBorder="1" applyAlignment="1">
      <alignment vertical="center"/>
    </xf>
    <xf numFmtId="3" fontId="27" fillId="6" borderId="68" xfId="5" applyNumberFormat="1" applyFont="1" applyFill="1" applyBorder="1" applyAlignment="1">
      <alignment vertical="center"/>
    </xf>
    <xf numFmtId="3" fontId="27" fillId="2" borderId="68" xfId="5" applyNumberFormat="1" applyFont="1" applyFill="1" applyBorder="1" applyAlignment="1">
      <alignment vertical="center"/>
    </xf>
    <xf numFmtId="3" fontId="27" fillId="2" borderId="68" xfId="5" applyNumberFormat="1" applyFont="1" applyFill="1" applyBorder="1" applyAlignment="1">
      <alignment vertical="center" wrapText="1"/>
    </xf>
    <xf numFmtId="3" fontId="47" fillId="6" borderId="68" xfId="5" applyNumberFormat="1" applyFont="1" applyFill="1" applyBorder="1" applyAlignment="1">
      <alignment vertical="center"/>
    </xf>
    <xf numFmtId="3" fontId="27" fillId="2" borderId="52" xfId="0" applyNumberFormat="1" applyFont="1" applyFill="1" applyBorder="1" applyAlignment="1">
      <alignment vertical="center"/>
    </xf>
    <xf numFmtId="3" fontId="27" fillId="2" borderId="2" xfId="1" applyNumberFormat="1" applyFont="1" applyFill="1" applyBorder="1" applyAlignment="1">
      <alignment vertical="center"/>
    </xf>
    <xf numFmtId="3" fontId="27" fillId="2" borderId="34" xfId="1" applyNumberFormat="1" applyFont="1" applyFill="1" applyBorder="1" applyAlignment="1">
      <alignment vertical="center"/>
    </xf>
    <xf numFmtId="3" fontId="27" fillId="2" borderId="19" xfId="1" applyNumberFormat="1" applyFont="1" applyFill="1" applyBorder="1" applyAlignment="1">
      <alignment vertical="center"/>
    </xf>
    <xf numFmtId="3" fontId="27" fillId="2" borderId="78" xfId="1" applyNumberFormat="1" applyFont="1" applyFill="1" applyBorder="1" applyAlignment="1">
      <alignment vertical="center"/>
    </xf>
    <xf numFmtId="3" fontId="27" fillId="5" borderId="22" xfId="0" applyNumberFormat="1" applyFont="1" applyFill="1" applyBorder="1" applyAlignment="1">
      <alignment vertical="center"/>
    </xf>
    <xf numFmtId="3" fontId="33" fillId="2" borderId="23" xfId="0" applyNumberFormat="1" applyFont="1" applyFill="1" applyBorder="1"/>
    <xf numFmtId="3" fontId="33" fillId="2" borderId="2" xfId="0" applyNumberFormat="1" applyFont="1" applyFill="1" applyBorder="1"/>
    <xf numFmtId="3" fontId="27" fillId="2" borderId="68" xfId="6" applyNumberFormat="1" applyFont="1" applyFill="1" applyBorder="1" applyAlignment="1">
      <alignment horizontal="right" vertical="center"/>
    </xf>
    <xf numFmtId="3" fontId="27" fillId="2" borderId="83" xfId="6" applyNumberFormat="1" applyFont="1" applyFill="1" applyBorder="1" applyAlignment="1">
      <alignment horizontal="right" vertical="center"/>
    </xf>
    <xf numFmtId="3" fontId="27" fillId="2" borderId="68" xfId="0" applyNumberFormat="1" applyFont="1" applyFill="1" applyBorder="1" applyAlignment="1">
      <alignment horizontal="right" vertical="center"/>
    </xf>
    <xf numFmtId="3" fontId="33" fillId="2" borderId="82" xfId="0" applyNumberFormat="1" applyFont="1" applyFill="1" applyBorder="1" applyAlignment="1">
      <alignment horizontal="right" vertical="center"/>
    </xf>
    <xf numFmtId="3" fontId="33" fillId="2" borderId="70" xfId="0" applyNumberFormat="1" applyFont="1" applyFill="1" applyBorder="1" applyAlignment="1">
      <alignment horizontal="right" vertical="center"/>
    </xf>
    <xf numFmtId="3" fontId="27" fillId="2" borderId="68" xfId="0" applyNumberFormat="1" applyFont="1" applyFill="1" applyBorder="1" applyAlignment="1">
      <alignment horizontal="right" vertical="center" wrapText="1"/>
    </xf>
    <xf numFmtId="3" fontId="47" fillId="2" borderId="82" xfId="0" applyNumberFormat="1" applyFont="1" applyFill="1" applyBorder="1" applyAlignment="1">
      <alignment horizontal="right" vertical="center"/>
    </xf>
    <xf numFmtId="3" fontId="33" fillId="7" borderId="68" xfId="0" applyNumberFormat="1" applyFont="1" applyFill="1" applyBorder="1" applyAlignment="1">
      <alignment horizontal="right" vertical="center" wrapText="1"/>
    </xf>
    <xf numFmtId="167" fontId="71" fillId="7" borderId="68" xfId="0" applyNumberFormat="1" applyFont="1" applyFill="1" applyBorder="1" applyAlignment="1">
      <alignment horizontal="right" vertical="center"/>
    </xf>
    <xf numFmtId="3" fontId="21" fillId="2" borderId="68" xfId="0" applyNumberFormat="1" applyFont="1" applyFill="1" applyBorder="1" applyAlignment="1">
      <alignment horizontal="left" vertical="center" wrapText="1"/>
    </xf>
    <xf numFmtId="3" fontId="27" fillId="2" borderId="60" xfId="6" applyNumberFormat="1" applyFont="1" applyFill="1" applyBorder="1" applyAlignment="1">
      <alignment horizontal="right" vertical="center"/>
    </xf>
    <xf numFmtId="3" fontId="21" fillId="2" borderId="91" xfId="0" applyNumberFormat="1" applyFont="1" applyFill="1" applyBorder="1" applyAlignment="1">
      <alignment horizontal="left" vertical="center" wrapText="1"/>
    </xf>
    <xf numFmtId="3" fontId="27" fillId="2" borderId="91" xfId="6" applyNumberFormat="1" applyFont="1" applyFill="1" applyBorder="1" applyAlignment="1">
      <alignment horizontal="right" vertical="center"/>
    </xf>
    <xf numFmtId="3" fontId="27" fillId="2" borderId="91" xfId="0" applyNumberFormat="1" applyFont="1" applyFill="1" applyBorder="1" applyAlignment="1">
      <alignment horizontal="right" vertical="center" wrapText="1"/>
    </xf>
    <xf numFmtId="3" fontId="21" fillId="2" borderId="75" xfId="0" applyNumberFormat="1" applyFont="1" applyFill="1" applyBorder="1" applyAlignment="1">
      <alignment horizontal="left" vertical="center" wrapText="1"/>
    </xf>
    <xf numFmtId="3" fontId="27" fillId="2" borderId="75" xfId="6" applyNumberFormat="1" applyFont="1" applyFill="1" applyBorder="1" applyAlignment="1">
      <alignment horizontal="right" vertical="center"/>
    </xf>
    <xf numFmtId="3" fontId="21" fillId="2" borderId="85" xfId="0" applyNumberFormat="1" applyFont="1" applyFill="1" applyBorder="1" applyAlignment="1">
      <alignment horizontal="left" vertical="center" wrapText="1"/>
    </xf>
    <xf numFmtId="3" fontId="27" fillId="2" borderId="82" xfId="6" applyNumberFormat="1" applyFont="1" applyFill="1" applyBorder="1" applyAlignment="1">
      <alignment horizontal="right" vertical="center"/>
    </xf>
    <xf numFmtId="3" fontId="27" fillId="2" borderId="85" xfId="6" applyNumberFormat="1" applyFont="1" applyFill="1" applyBorder="1" applyAlignment="1">
      <alignment horizontal="right" vertical="center"/>
    </xf>
    <xf numFmtId="3" fontId="21" fillId="2" borderId="16" xfId="0" applyNumberFormat="1" applyFont="1" applyFill="1" applyBorder="1" applyAlignment="1">
      <alignment horizontal="left" vertical="center" wrapText="1"/>
    </xf>
    <xf numFmtId="3" fontId="27" fillId="2" borderId="16" xfId="6" applyNumberFormat="1" applyFont="1" applyFill="1" applyBorder="1" applyAlignment="1">
      <alignment horizontal="right" vertical="center"/>
    </xf>
    <xf numFmtId="3" fontId="27" fillId="2" borderId="75" xfId="0" applyNumberFormat="1" applyFont="1" applyFill="1" applyBorder="1" applyAlignment="1">
      <alignment horizontal="right" vertical="center"/>
    </xf>
    <xf numFmtId="3" fontId="27" fillId="2" borderId="82" xfId="0" applyNumberFormat="1" applyFont="1" applyFill="1" applyBorder="1" applyAlignment="1">
      <alignment horizontal="right" vertical="center" wrapText="1"/>
    </xf>
    <xf numFmtId="3" fontId="21" fillId="2" borderId="83" xfId="0" applyNumberFormat="1" applyFont="1" applyFill="1" applyBorder="1" applyAlignment="1">
      <alignment horizontal="left" vertical="center" wrapText="1"/>
    </xf>
    <xf numFmtId="3" fontId="27" fillId="2" borderId="83" xfId="0" applyNumberFormat="1" applyFont="1" applyFill="1" applyBorder="1" applyAlignment="1">
      <alignment horizontal="right" vertical="center"/>
    </xf>
    <xf numFmtId="3" fontId="21" fillId="2" borderId="82" xfId="0" applyNumberFormat="1" applyFont="1" applyFill="1" applyBorder="1" applyAlignment="1">
      <alignment horizontal="left" vertical="center" wrapText="1"/>
    </xf>
    <xf numFmtId="3" fontId="20" fillId="2" borderId="68" xfId="0" applyNumberFormat="1" applyFont="1" applyFill="1" applyBorder="1" applyAlignment="1">
      <alignment horizontal="right" vertical="center" wrapText="1"/>
    </xf>
    <xf numFmtId="3" fontId="21" fillId="2" borderId="68" xfId="0" applyNumberFormat="1" applyFont="1" applyFill="1" applyBorder="1" applyAlignment="1">
      <alignment horizontal="right" vertical="center" wrapText="1"/>
    </xf>
    <xf numFmtId="3" fontId="20" fillId="2" borderId="99" xfId="0" applyNumberFormat="1" applyFont="1" applyFill="1" applyBorder="1" applyAlignment="1">
      <alignment horizontal="right" vertical="center" wrapText="1"/>
    </xf>
    <xf numFmtId="3" fontId="27" fillId="2" borderId="49" xfId="6" applyNumberFormat="1" applyFont="1" applyFill="1" applyBorder="1" applyAlignment="1">
      <alignment horizontal="right" vertical="center"/>
    </xf>
    <xf numFmtId="3" fontId="20" fillId="2" borderId="90" xfId="0" applyNumberFormat="1" applyFont="1" applyFill="1" applyBorder="1" applyAlignment="1">
      <alignment horizontal="right" vertical="center" wrapText="1"/>
    </xf>
    <xf numFmtId="3" fontId="21" fillId="2" borderId="91" xfId="0" applyNumberFormat="1" applyFont="1" applyFill="1" applyBorder="1" applyAlignment="1">
      <alignment horizontal="right" vertical="center" wrapText="1"/>
    </xf>
    <xf numFmtId="3" fontId="20" fillId="2" borderId="91" xfId="0" applyNumberFormat="1" applyFont="1" applyFill="1" applyBorder="1" applyAlignment="1">
      <alignment horizontal="right" vertical="center" wrapText="1"/>
    </xf>
    <xf numFmtId="3" fontId="27" fillId="2" borderId="92" xfId="6" applyNumberFormat="1" applyFont="1" applyFill="1" applyBorder="1" applyAlignment="1">
      <alignment horizontal="right" vertical="center"/>
    </xf>
    <xf numFmtId="3" fontId="32" fillId="2" borderId="72" xfId="0" applyNumberFormat="1" applyFont="1" applyFill="1" applyBorder="1" applyAlignment="1">
      <alignment horizontal="right" vertical="center" wrapText="1"/>
    </xf>
    <xf numFmtId="3" fontId="20" fillId="2" borderId="74" xfId="0" applyNumberFormat="1" applyFont="1" applyFill="1" applyBorder="1" applyAlignment="1">
      <alignment horizontal="right" vertical="center" wrapText="1"/>
    </xf>
    <xf numFmtId="3" fontId="21" fillId="2" borderId="75" xfId="0" applyNumberFormat="1" applyFont="1" applyFill="1" applyBorder="1" applyAlignment="1">
      <alignment horizontal="right" vertical="center" wrapText="1"/>
    </xf>
    <xf numFmtId="3" fontId="20" fillId="2" borderId="75" xfId="0" applyNumberFormat="1" applyFont="1" applyFill="1" applyBorder="1" applyAlignment="1">
      <alignment horizontal="right" vertical="center" wrapText="1"/>
    </xf>
    <xf numFmtId="3" fontId="27" fillId="2" borderId="77" xfId="6" applyNumberFormat="1" applyFont="1" applyFill="1" applyBorder="1" applyAlignment="1">
      <alignment horizontal="right" vertical="center"/>
    </xf>
    <xf numFmtId="3" fontId="27" fillId="2" borderId="78" xfId="6" applyNumberFormat="1" applyFont="1" applyFill="1" applyBorder="1" applyAlignment="1">
      <alignment horizontal="right" vertical="center"/>
    </xf>
    <xf numFmtId="3" fontId="20" fillId="2" borderId="80" xfId="0" applyNumberFormat="1" applyFont="1" applyFill="1" applyBorder="1" applyAlignment="1">
      <alignment horizontal="right" vertical="center" wrapText="1"/>
    </xf>
    <xf numFmtId="3" fontId="27" fillId="2" borderId="81" xfId="6" applyNumberFormat="1" applyFont="1" applyFill="1" applyBorder="1" applyAlignment="1">
      <alignment horizontal="right" vertical="center"/>
    </xf>
    <xf numFmtId="3" fontId="20" fillId="2" borderId="84" xfId="0" applyNumberFormat="1" applyFont="1" applyFill="1" applyBorder="1" applyAlignment="1">
      <alignment horizontal="right" vertical="center" wrapText="1"/>
    </xf>
    <xf numFmtId="3" fontId="21" fillId="2" borderId="85" xfId="0" applyNumberFormat="1" applyFont="1" applyFill="1" applyBorder="1" applyAlignment="1">
      <alignment horizontal="right" vertical="center" wrapText="1"/>
    </xf>
    <xf numFmtId="3" fontId="20" fillId="2" borderId="85" xfId="0" applyNumberFormat="1" applyFont="1" applyFill="1" applyBorder="1" applyAlignment="1">
      <alignment horizontal="right" vertical="center" wrapText="1"/>
    </xf>
    <xf numFmtId="3" fontId="21" fillId="2" borderId="82" xfId="0" applyNumberFormat="1" applyFont="1" applyFill="1" applyBorder="1" applyAlignment="1">
      <alignment horizontal="right" vertical="center" wrapText="1"/>
    </xf>
    <xf numFmtId="3" fontId="20" fillId="2" borderId="16" xfId="0" applyNumberFormat="1" applyFont="1" applyFill="1" applyBorder="1" applyAlignment="1">
      <alignment horizontal="right" vertical="center" wrapText="1"/>
    </xf>
    <xf numFmtId="3" fontId="27" fillId="2" borderId="86" xfId="6" applyNumberFormat="1" applyFont="1" applyFill="1" applyBorder="1" applyAlignment="1">
      <alignment horizontal="right" vertical="center"/>
    </xf>
    <xf numFmtId="3" fontId="27" fillId="2" borderId="88" xfId="6" applyNumberFormat="1" applyFont="1" applyFill="1" applyBorder="1" applyAlignment="1">
      <alignment horizontal="right" vertical="center"/>
    </xf>
    <xf numFmtId="3" fontId="27" fillId="2" borderId="93" xfId="6" applyNumberFormat="1" applyFont="1" applyFill="1" applyBorder="1" applyAlignment="1">
      <alignment horizontal="right" vertical="center"/>
    </xf>
    <xf numFmtId="3" fontId="27" fillId="2" borderId="81" xfId="0" applyNumberFormat="1" applyFont="1" applyFill="1" applyBorder="1" applyAlignment="1">
      <alignment horizontal="right" vertical="center" wrapText="1"/>
    </xf>
    <xf numFmtId="3" fontId="27" fillId="2" borderId="25" xfId="6" applyNumberFormat="1" applyFont="1" applyFill="1" applyBorder="1" applyAlignment="1">
      <alignment horizontal="right" vertical="center"/>
    </xf>
    <xf numFmtId="3" fontId="27" fillId="2" borderId="19" xfId="6" applyNumberFormat="1" applyFont="1" applyFill="1" applyBorder="1" applyAlignment="1">
      <alignment horizontal="right" vertical="center"/>
    </xf>
    <xf numFmtId="3" fontId="27" fillId="2" borderId="94" xfId="6" applyNumberFormat="1" applyFont="1" applyFill="1" applyBorder="1" applyAlignment="1">
      <alignment horizontal="right" vertical="center"/>
    </xf>
    <xf numFmtId="3" fontId="27" fillId="2" borderId="95" xfId="6" applyNumberFormat="1" applyFont="1" applyFill="1" applyBorder="1" applyAlignment="1">
      <alignment horizontal="right" vertical="center"/>
    </xf>
    <xf numFmtId="3" fontId="27" fillId="2" borderId="77" xfId="0" applyNumberFormat="1" applyFont="1" applyFill="1" applyBorder="1" applyAlignment="1">
      <alignment horizontal="right" vertical="center"/>
    </xf>
    <xf numFmtId="3" fontId="32" fillId="2" borderId="68" xfId="0" applyNumberFormat="1" applyFont="1" applyFill="1" applyBorder="1" applyAlignment="1">
      <alignment horizontal="right" vertical="center" wrapText="1"/>
    </xf>
    <xf numFmtId="3" fontId="20" fillId="2" borderId="24" xfId="0" applyNumberFormat="1" applyFont="1" applyFill="1" applyBorder="1" applyAlignment="1">
      <alignment horizontal="right" vertical="center" wrapText="1"/>
    </xf>
    <xf numFmtId="3" fontId="21" fillId="2" borderId="16" xfId="0" applyNumberFormat="1" applyFont="1" applyFill="1" applyBorder="1" applyAlignment="1">
      <alignment horizontal="right" vertical="center" wrapText="1"/>
    </xf>
    <xf numFmtId="3" fontId="20" fillId="2" borderId="82" xfId="0" applyNumberFormat="1" applyFont="1" applyFill="1" applyBorder="1" applyAlignment="1">
      <alignment horizontal="right" vertical="center" wrapText="1"/>
    </xf>
    <xf numFmtId="3" fontId="27" fillId="2" borderId="52" xfId="6" applyNumberFormat="1" applyFont="1" applyFill="1" applyBorder="1" applyAlignment="1">
      <alignment horizontal="right" vertical="center"/>
    </xf>
    <xf numFmtId="3" fontId="27" fillId="2" borderId="75" xfId="6" applyNumberFormat="1" applyFont="1" applyFill="1" applyBorder="1" applyAlignment="1">
      <alignment horizontal="right" vertical="center" wrapText="1"/>
    </xf>
    <xf numFmtId="3" fontId="27" fillId="2" borderId="68" xfId="6" applyNumberFormat="1" applyFont="1" applyFill="1" applyBorder="1" applyAlignment="1">
      <alignment horizontal="right" vertical="center" wrapText="1"/>
    </xf>
    <xf numFmtId="3" fontId="20" fillId="2" borderId="95" xfId="0" applyNumberFormat="1" applyFont="1" applyFill="1" applyBorder="1" applyAlignment="1">
      <alignment horizontal="right" vertical="center" wrapText="1"/>
    </xf>
    <xf numFmtId="3" fontId="27" fillId="2" borderId="75" xfId="0" applyNumberFormat="1" applyFont="1" applyFill="1" applyBorder="1" applyAlignment="1">
      <alignment horizontal="right" vertical="center" wrapText="1"/>
    </xf>
    <xf numFmtId="3" fontId="20" fillId="2" borderId="93" xfId="0" applyNumberFormat="1" applyFont="1" applyFill="1" applyBorder="1" applyAlignment="1">
      <alignment horizontal="right" vertical="center" wrapText="1"/>
    </xf>
    <xf numFmtId="3" fontId="21" fillId="2" borderId="83" xfId="0" applyNumberFormat="1" applyFont="1" applyFill="1" applyBorder="1" applyAlignment="1">
      <alignment horizontal="right" vertical="center" wrapText="1"/>
    </xf>
    <xf numFmtId="3" fontId="27" fillId="2" borderId="83" xfId="0" applyNumberFormat="1" applyFont="1" applyFill="1" applyBorder="1" applyAlignment="1">
      <alignment horizontal="right" vertical="center" wrapText="1"/>
    </xf>
    <xf numFmtId="3" fontId="21" fillId="2" borderId="19" xfId="0" applyNumberFormat="1" applyFont="1" applyFill="1" applyBorder="1" applyAlignment="1">
      <alignment horizontal="right" vertical="center" wrapText="1"/>
    </xf>
    <xf numFmtId="3" fontId="27" fillId="2" borderId="16" xfId="6" applyNumberFormat="1" applyFont="1" applyFill="1" applyBorder="1" applyAlignment="1">
      <alignment horizontal="right" vertical="center" wrapText="1"/>
    </xf>
    <xf numFmtId="3" fontId="27" fillId="2" borderId="82" xfId="6" applyNumberFormat="1" applyFont="1" applyFill="1" applyBorder="1" applyAlignment="1">
      <alignment horizontal="right" vertical="center" wrapText="1"/>
    </xf>
    <xf numFmtId="3" fontId="20" fillId="2" borderId="96" xfId="0" applyNumberFormat="1" applyFont="1" applyFill="1" applyBorder="1" applyAlignment="1">
      <alignment horizontal="right" vertical="center" wrapText="1"/>
    </xf>
    <xf numFmtId="3" fontId="47" fillId="2" borderId="89" xfId="0" applyNumberFormat="1" applyFont="1" applyFill="1" applyBorder="1" applyAlignment="1">
      <alignment horizontal="right" vertical="center"/>
    </xf>
    <xf numFmtId="0" fontId="14" fillId="0" borderId="0" xfId="3" applyFont="1" applyBorder="1" applyAlignment="1">
      <alignment horizontal="left" vertical="center"/>
    </xf>
    <xf numFmtId="0" fontId="32" fillId="7" borderId="10" xfId="0" applyFont="1" applyFill="1" applyBorder="1" applyAlignment="1">
      <alignment horizontal="left" vertical="center" wrapText="1"/>
    </xf>
    <xf numFmtId="0" fontId="19" fillId="2" borderId="2" xfId="0" applyFont="1" applyFill="1" applyBorder="1" applyAlignment="1">
      <alignment horizontal="left" vertical="center" wrapText="1"/>
    </xf>
    <xf numFmtId="0" fontId="64" fillId="2" borderId="4" xfId="0" applyFont="1" applyFill="1" applyBorder="1" applyAlignment="1">
      <alignment horizontal="left" vertical="center"/>
    </xf>
    <xf numFmtId="0" fontId="21" fillId="2" borderId="37" xfId="0" applyFont="1" applyFill="1" applyBorder="1" applyAlignment="1">
      <alignment horizontal="left" vertical="center" wrapText="1"/>
    </xf>
    <xf numFmtId="0" fontId="64" fillId="2" borderId="8" xfId="0" applyFont="1" applyFill="1" applyBorder="1" applyAlignment="1">
      <alignment horizontal="left" vertical="center"/>
    </xf>
    <xf numFmtId="1" fontId="61" fillId="2" borderId="101" xfId="5" applyNumberFormat="1" applyFont="1" applyFill="1" applyBorder="1" applyAlignment="1">
      <alignment horizontal="left" vertical="center" wrapText="1"/>
    </xf>
    <xf numFmtId="0" fontId="21" fillId="2" borderId="68" xfId="5" applyNumberFormat="1" applyFont="1" applyFill="1" applyBorder="1" applyAlignment="1">
      <alignment horizontal="left" vertical="center" wrapText="1"/>
    </xf>
    <xf numFmtId="0" fontId="21" fillId="6" borderId="68" xfId="5" applyNumberFormat="1" applyFont="1" applyFill="1" applyBorder="1" applyAlignment="1">
      <alignment horizontal="left" vertical="top" wrapText="1"/>
    </xf>
    <xf numFmtId="0" fontId="21" fillId="2" borderId="68" xfId="5" applyNumberFormat="1" applyFont="1" applyFill="1" applyBorder="1" applyAlignment="1">
      <alignment horizontal="left" vertical="top" wrapText="1"/>
    </xf>
    <xf numFmtId="0" fontId="20" fillId="2" borderId="68" xfId="5" applyNumberFormat="1" applyFont="1" applyFill="1" applyBorder="1" applyAlignment="1">
      <alignment horizontal="left" vertical="center" wrapText="1"/>
    </xf>
    <xf numFmtId="3" fontId="20" fillId="2" borderId="99" xfId="0" applyNumberFormat="1" applyFont="1" applyFill="1" applyBorder="1" applyAlignment="1">
      <alignment horizontal="left" vertical="center" wrapText="1"/>
    </xf>
    <xf numFmtId="3" fontId="21" fillId="2" borderId="68" xfId="0" applyNumberFormat="1" applyFont="1" applyFill="1" applyBorder="1" applyAlignment="1">
      <alignment horizontal="left" wrapText="1"/>
    </xf>
    <xf numFmtId="0" fontId="0" fillId="0" borderId="0" xfId="0" applyAlignment="1">
      <alignment horizontal="left"/>
    </xf>
    <xf numFmtId="0" fontId="48" fillId="2" borderId="0" xfId="0" applyFont="1" applyFill="1" applyAlignment="1">
      <alignment horizontal="left" vertical="center" wrapText="1"/>
    </xf>
    <xf numFmtId="0" fontId="11" fillId="0" borderId="0" xfId="0" applyFont="1" applyAlignment="1">
      <alignment horizontal="center" vertical="center"/>
    </xf>
    <xf numFmtId="0" fontId="13" fillId="0" borderId="0" xfId="3" applyFont="1" applyBorder="1" applyAlignment="1">
      <alignment horizontal="center" vertical="center"/>
    </xf>
    <xf numFmtId="0" fontId="15" fillId="7" borderId="3" xfId="0" applyFont="1" applyFill="1" applyBorder="1" applyAlignment="1">
      <alignment horizontal="center"/>
    </xf>
    <xf numFmtId="0" fontId="15" fillId="7" borderId="4" xfId="0" applyFont="1" applyFill="1" applyBorder="1" applyAlignment="1">
      <alignment horizontal="center"/>
    </xf>
    <xf numFmtId="0" fontId="15" fillId="7" borderId="5" xfId="0" applyFont="1" applyFill="1" applyBorder="1" applyAlignment="1">
      <alignment horizontal="center"/>
    </xf>
    <xf numFmtId="0" fontId="64" fillId="2" borderId="30" xfId="0" applyFont="1" applyFill="1" applyBorder="1" applyAlignment="1">
      <alignment horizontal="left" vertical="center" wrapText="1"/>
    </xf>
    <xf numFmtId="0" fontId="64" fillId="2" borderId="0" xfId="0" applyFont="1" applyFill="1" applyAlignment="1">
      <alignment horizontal="left" vertical="center" wrapText="1"/>
    </xf>
    <xf numFmtId="0" fontId="64" fillId="2" borderId="61" xfId="0" applyFont="1" applyFill="1" applyBorder="1" applyAlignment="1">
      <alignment horizontal="left" vertical="center" wrapText="1"/>
    </xf>
    <xf numFmtId="0" fontId="32" fillId="2" borderId="21" xfId="0" applyFont="1" applyFill="1" applyBorder="1" applyAlignment="1">
      <alignment horizontal="left" vertical="center" wrapText="1"/>
    </xf>
    <xf numFmtId="0" fontId="32" fillId="2" borderId="17" xfId="0" applyFont="1" applyFill="1" applyBorder="1" applyAlignment="1">
      <alignment horizontal="left" vertical="center" wrapText="1"/>
    </xf>
    <xf numFmtId="0" fontId="32" fillId="2" borderId="2" xfId="0" applyFont="1" applyFill="1" applyBorder="1" applyAlignment="1">
      <alignment horizontal="left" vertical="center" wrapText="1"/>
    </xf>
    <xf numFmtId="0" fontId="21" fillId="2" borderId="21" xfId="0" applyFont="1" applyFill="1" applyBorder="1" applyAlignment="1">
      <alignment horizontal="center" vertical="center" wrapText="1"/>
    </xf>
    <xf numFmtId="0" fontId="21" fillId="2" borderId="17"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165" fontId="32" fillId="2" borderId="21" xfId="0" applyNumberFormat="1" applyFont="1" applyFill="1" applyBorder="1" applyAlignment="1">
      <alignment horizontal="right" vertical="center" wrapText="1"/>
    </xf>
    <xf numFmtId="165" fontId="32" fillId="2" borderId="17" xfId="0" applyNumberFormat="1" applyFont="1" applyFill="1" applyBorder="1" applyAlignment="1">
      <alignment horizontal="right" vertical="center" wrapText="1"/>
    </xf>
    <xf numFmtId="0" fontId="32" fillId="2" borderId="16" xfId="0" applyFont="1" applyFill="1" applyBorder="1" applyAlignment="1">
      <alignment horizontal="left" vertical="center" wrapText="1"/>
    </xf>
    <xf numFmtId="0" fontId="21" fillId="2" borderId="16" xfId="0" applyFont="1" applyFill="1" applyBorder="1" applyAlignment="1">
      <alignment horizontal="center" vertical="center" wrapText="1"/>
    </xf>
    <xf numFmtId="0" fontId="32" fillId="2" borderId="21" xfId="0" applyFont="1" applyFill="1" applyBorder="1" applyAlignment="1">
      <alignment horizontal="center" vertical="center"/>
    </xf>
    <xf numFmtId="0" fontId="32" fillId="2" borderId="16" xfId="0" applyFont="1" applyFill="1" applyBorder="1" applyAlignment="1">
      <alignment horizontal="center" vertical="center"/>
    </xf>
    <xf numFmtId="0" fontId="32" fillId="2" borderId="17" xfId="0" applyFont="1" applyFill="1" applyBorder="1" applyAlignment="1">
      <alignment horizontal="center" vertical="center"/>
    </xf>
    <xf numFmtId="165" fontId="32" fillId="2" borderId="21" xfId="1" applyNumberFormat="1" applyFont="1" applyFill="1" applyBorder="1" applyAlignment="1">
      <alignment horizontal="center" vertical="center"/>
    </xf>
    <xf numFmtId="165" fontId="32" fillId="2" borderId="16" xfId="1" applyNumberFormat="1" applyFont="1" applyFill="1" applyBorder="1" applyAlignment="1">
      <alignment horizontal="center" vertical="center"/>
    </xf>
    <xf numFmtId="0" fontId="20" fillId="2" borderId="21" xfId="0" applyFont="1" applyFill="1" applyBorder="1" applyAlignment="1">
      <alignment horizontal="center" vertical="center"/>
    </xf>
    <xf numFmtId="0" fontId="20" fillId="2" borderId="16" xfId="0" applyFont="1" applyFill="1" applyBorder="1" applyAlignment="1">
      <alignment horizontal="center" vertical="center"/>
    </xf>
    <xf numFmtId="0" fontId="20" fillId="2" borderId="17" xfId="0" applyFont="1" applyFill="1" applyBorder="1" applyAlignment="1">
      <alignment horizontal="center" vertical="center"/>
    </xf>
    <xf numFmtId="165" fontId="27" fillId="2" borderId="21" xfId="1" applyNumberFormat="1" applyFont="1" applyFill="1" applyBorder="1" applyAlignment="1">
      <alignment horizontal="center" vertical="center"/>
    </xf>
    <xf numFmtId="165" fontId="27" fillId="2" borderId="16" xfId="1" applyNumberFormat="1" applyFont="1" applyFill="1" applyBorder="1" applyAlignment="1">
      <alignment horizontal="center" vertical="center"/>
    </xf>
    <xf numFmtId="165" fontId="27" fillId="2" borderId="17" xfId="1" applyNumberFormat="1" applyFont="1" applyFill="1" applyBorder="1" applyAlignment="1">
      <alignment horizontal="center" vertical="center"/>
    </xf>
    <xf numFmtId="0" fontId="21" fillId="2" borderId="2" xfId="0" applyFont="1" applyFill="1" applyBorder="1" applyAlignment="1">
      <alignment horizontal="left" vertical="center" wrapText="1"/>
    </xf>
    <xf numFmtId="0" fontId="21" fillId="2" borderId="2" xfId="0" applyFont="1" applyFill="1" applyBorder="1" applyAlignment="1">
      <alignment horizontal="center" vertical="center" wrapText="1"/>
    </xf>
    <xf numFmtId="0" fontId="21" fillId="2" borderId="21" xfId="0" applyFont="1" applyFill="1" applyBorder="1" applyAlignment="1">
      <alignment horizontal="left" vertical="center" wrapText="1"/>
    </xf>
    <xf numFmtId="0" fontId="21" fillId="2" borderId="17" xfId="0" applyFont="1" applyFill="1" applyBorder="1" applyAlignment="1">
      <alignment horizontal="left" vertical="center" wrapText="1"/>
    </xf>
    <xf numFmtId="165" fontId="32" fillId="2" borderId="17" xfId="1" applyNumberFormat="1" applyFont="1" applyFill="1" applyBorder="1" applyAlignment="1">
      <alignment horizontal="center" vertical="center"/>
    </xf>
    <xf numFmtId="2" fontId="21" fillId="2" borderId="21" xfId="0" applyNumberFormat="1" applyFont="1" applyFill="1" applyBorder="1" applyAlignment="1">
      <alignment horizontal="center" vertical="center" wrapText="1"/>
    </xf>
    <xf numFmtId="2" fontId="21" fillId="2" borderId="16" xfId="0" applyNumberFormat="1" applyFont="1" applyFill="1" applyBorder="1" applyAlignment="1">
      <alignment horizontal="center" vertical="center" wrapText="1"/>
    </xf>
    <xf numFmtId="2" fontId="21" fillId="2" borderId="17" xfId="0" applyNumberFormat="1" applyFont="1" applyFill="1" applyBorder="1" applyAlignment="1">
      <alignment horizontal="center" vertical="center" wrapText="1"/>
    </xf>
    <xf numFmtId="0" fontId="32" fillId="2" borderId="21" xfId="0" applyFont="1" applyFill="1" applyBorder="1" applyAlignment="1">
      <alignment horizontal="center" vertical="center" wrapText="1"/>
    </xf>
    <xf numFmtId="0" fontId="32" fillId="2" borderId="16" xfId="0" applyFont="1" applyFill="1" applyBorder="1" applyAlignment="1">
      <alignment horizontal="center" vertical="center" wrapText="1"/>
    </xf>
    <xf numFmtId="0" fontId="32" fillId="2" borderId="17" xfId="0" applyFont="1" applyFill="1" applyBorder="1" applyAlignment="1">
      <alignment horizontal="center" vertical="center" wrapText="1"/>
    </xf>
    <xf numFmtId="165" fontId="32" fillId="2" borderId="2" xfId="1" applyNumberFormat="1" applyFont="1" applyFill="1" applyBorder="1" applyAlignment="1">
      <alignment horizontal="center" vertical="center"/>
    </xf>
    <xf numFmtId="0" fontId="66" fillId="2" borderId="3" xfId="0" applyFont="1" applyFill="1" applyBorder="1" applyAlignment="1">
      <alignment horizontal="center" vertical="center" wrapText="1"/>
    </xf>
    <xf numFmtId="0" fontId="66" fillId="2" borderId="4" xfId="0" applyFont="1" applyFill="1" applyBorder="1" applyAlignment="1">
      <alignment horizontal="center" vertical="center" wrapText="1"/>
    </xf>
    <xf numFmtId="0" fontId="66" fillId="2" borderId="5" xfId="0" applyFont="1" applyFill="1" applyBorder="1" applyAlignment="1">
      <alignment horizontal="center" vertical="center" wrapText="1"/>
    </xf>
    <xf numFmtId="0" fontId="32" fillId="2" borderId="31" xfId="0" applyFont="1" applyFill="1" applyBorder="1" applyAlignment="1">
      <alignment horizontal="left" vertical="center" wrapText="1"/>
    </xf>
    <xf numFmtId="0" fontId="32" fillId="2" borderId="36" xfId="0" applyFont="1" applyFill="1" applyBorder="1" applyAlignment="1">
      <alignment horizontal="left" vertical="center" wrapText="1"/>
    </xf>
    <xf numFmtId="0" fontId="32" fillId="2" borderId="28" xfId="0" applyFont="1" applyFill="1" applyBorder="1" applyAlignment="1">
      <alignment horizontal="left" vertical="center" wrapText="1"/>
    </xf>
    <xf numFmtId="0" fontId="20" fillId="2" borderId="19" xfId="0" applyFont="1" applyFill="1" applyBorder="1" applyAlignment="1">
      <alignment horizontal="center" vertical="center" wrapText="1"/>
    </xf>
    <xf numFmtId="0" fontId="20" fillId="2" borderId="49" xfId="0" applyFont="1" applyFill="1" applyBorder="1" applyAlignment="1">
      <alignment horizontal="center" vertical="center" wrapText="1"/>
    </xf>
    <xf numFmtId="0" fontId="20" fillId="2" borderId="50" xfId="0" applyFont="1" applyFill="1" applyBorder="1" applyAlignment="1">
      <alignment horizontal="center" vertical="center" wrapText="1"/>
    </xf>
    <xf numFmtId="0" fontId="20" fillId="2" borderId="52" xfId="0" applyFont="1" applyFill="1" applyBorder="1" applyAlignment="1">
      <alignment horizontal="center" vertical="center" wrapText="1"/>
    </xf>
    <xf numFmtId="2" fontId="21" fillId="2" borderId="2" xfId="0" applyNumberFormat="1" applyFont="1" applyFill="1" applyBorder="1" applyAlignment="1">
      <alignment horizontal="center" vertical="center" wrapText="1"/>
    </xf>
    <xf numFmtId="0" fontId="32" fillId="2" borderId="24" xfId="0" applyFont="1" applyFill="1" applyBorder="1" applyAlignment="1">
      <alignment horizontal="left" vertical="center" wrapText="1"/>
    </xf>
    <xf numFmtId="0" fontId="32" fillId="2" borderId="58" xfId="0" applyFont="1" applyFill="1" applyBorder="1" applyAlignment="1">
      <alignment horizontal="left" vertical="center" wrapText="1"/>
    </xf>
    <xf numFmtId="0" fontId="20" fillId="2" borderId="34" xfId="0" applyFont="1" applyFill="1" applyBorder="1" applyAlignment="1">
      <alignment horizontal="center" vertical="center" wrapText="1"/>
    </xf>
    <xf numFmtId="0" fontId="64" fillId="2" borderId="29" xfId="0" applyFont="1" applyFill="1" applyBorder="1" applyAlignment="1">
      <alignment horizontal="left" vertical="center" wrapText="1"/>
    </xf>
    <xf numFmtId="0" fontId="64" fillId="2" borderId="58" xfId="0" applyFont="1" applyFill="1" applyBorder="1" applyAlignment="1">
      <alignment horizontal="left" vertical="center" wrapText="1"/>
    </xf>
    <xf numFmtId="17" fontId="20" fillId="2" borderId="2" xfId="0" applyNumberFormat="1" applyFont="1" applyFill="1" applyBorder="1" applyAlignment="1">
      <alignment horizontal="center" vertical="center" wrapText="1"/>
    </xf>
    <xf numFmtId="17" fontId="20" fillId="2" borderId="21" xfId="0" applyNumberFormat="1" applyFont="1" applyFill="1" applyBorder="1" applyAlignment="1">
      <alignment horizontal="center" vertical="center" wrapText="1"/>
    </xf>
    <xf numFmtId="3" fontId="27" fillId="2" borderId="21" xfId="1" applyNumberFormat="1" applyFont="1" applyFill="1" applyBorder="1" applyAlignment="1">
      <alignment vertical="center"/>
    </xf>
    <xf numFmtId="3" fontId="27" fillId="2" borderId="16" xfId="1" applyNumberFormat="1" applyFont="1" applyFill="1" applyBorder="1" applyAlignment="1">
      <alignment vertical="center"/>
    </xf>
    <xf numFmtId="3" fontId="27" fillId="2" borderId="17" xfId="1" applyNumberFormat="1" applyFont="1" applyFill="1" applyBorder="1" applyAlignment="1">
      <alignment vertical="center"/>
    </xf>
    <xf numFmtId="168" fontId="32" fillId="2" borderId="36" xfId="0" applyNumberFormat="1" applyFont="1" applyFill="1" applyBorder="1" applyAlignment="1">
      <alignment horizontal="left" vertical="center" wrapText="1"/>
    </xf>
    <xf numFmtId="168" fontId="32" fillId="2" borderId="28" xfId="0" applyNumberFormat="1" applyFont="1" applyFill="1" applyBorder="1" applyAlignment="1">
      <alignment horizontal="left" vertical="center" wrapText="1"/>
    </xf>
    <xf numFmtId="168" fontId="32" fillId="2" borderId="21" xfId="0" applyNumberFormat="1" applyFont="1" applyFill="1" applyBorder="1" applyAlignment="1">
      <alignment horizontal="center" vertical="center" wrapText="1"/>
    </xf>
    <xf numFmtId="168" fontId="32" fillId="2" borderId="16" xfId="0" applyNumberFormat="1" applyFont="1" applyFill="1" applyBorder="1" applyAlignment="1">
      <alignment horizontal="center" vertical="center" wrapText="1"/>
    </xf>
    <xf numFmtId="168" fontId="32" fillId="2" borderId="17" xfId="0" applyNumberFormat="1" applyFont="1" applyFill="1" applyBorder="1" applyAlignment="1">
      <alignment horizontal="center" vertical="center" wrapText="1"/>
    </xf>
    <xf numFmtId="165" fontId="27" fillId="2" borderId="2" xfId="1" applyNumberFormat="1" applyFont="1" applyFill="1" applyBorder="1" applyAlignment="1">
      <alignment horizontal="right" vertical="center"/>
    </xf>
    <xf numFmtId="165" fontId="27" fillId="2" borderId="2" xfId="1" applyNumberFormat="1" applyFont="1" applyFill="1" applyBorder="1" applyAlignment="1">
      <alignment horizontal="center" vertical="center"/>
    </xf>
    <xf numFmtId="0" fontId="64" fillId="6" borderId="68" xfId="5" applyNumberFormat="1" applyFont="1" applyFill="1" applyBorder="1" applyAlignment="1">
      <alignment horizontal="left" vertical="center" wrapText="1"/>
    </xf>
    <xf numFmtId="1" fontId="69" fillId="2" borderId="68" xfId="5" applyNumberFormat="1" applyFont="1" applyFill="1" applyBorder="1" applyAlignment="1"/>
    <xf numFmtId="0" fontId="32" fillId="6" borderId="68" xfId="5" applyNumberFormat="1" applyFont="1" applyFill="1" applyBorder="1" applyAlignment="1">
      <alignment horizontal="left" vertical="center" wrapText="1"/>
    </xf>
    <xf numFmtId="3" fontId="27" fillId="2" borderId="68" xfId="5" applyNumberFormat="1" applyFont="1" applyFill="1" applyBorder="1" applyAlignment="1">
      <alignment vertical="center"/>
    </xf>
    <xf numFmtId="0" fontId="32" fillId="2" borderId="68" xfId="5" applyNumberFormat="1" applyFont="1" applyFill="1" applyBorder="1" applyAlignment="1">
      <alignment horizontal="left" vertical="center" wrapText="1"/>
    </xf>
    <xf numFmtId="170" fontId="27" fillId="6" borderId="68" xfId="5" applyNumberFormat="1" applyFont="1" applyFill="1" applyBorder="1" applyAlignment="1">
      <alignment horizontal="right" vertical="center"/>
    </xf>
    <xf numFmtId="170" fontId="27" fillId="6" borderId="68" xfId="5" applyNumberFormat="1" applyFont="1" applyFill="1" applyBorder="1" applyAlignment="1">
      <alignment horizontal="center" vertical="center"/>
    </xf>
    <xf numFmtId="168" fontId="32" fillId="2" borderId="31" xfId="0" applyNumberFormat="1" applyFont="1" applyFill="1" applyBorder="1" applyAlignment="1">
      <alignment horizontal="left" vertical="center" wrapText="1"/>
    </xf>
    <xf numFmtId="0" fontId="32" fillId="2" borderId="64" xfId="0" applyFont="1" applyFill="1" applyBorder="1" applyAlignment="1">
      <alignment horizontal="left" vertical="center" wrapText="1"/>
    </xf>
    <xf numFmtId="0" fontId="32" fillId="2" borderId="41" xfId="0" applyFont="1" applyFill="1" applyBorder="1" applyAlignment="1">
      <alignment horizontal="left" vertical="center" wrapText="1"/>
    </xf>
    <xf numFmtId="0" fontId="32" fillId="2" borderId="65" xfId="0" applyFont="1" applyFill="1" applyBorder="1" applyAlignment="1">
      <alignment horizontal="left" vertical="center" wrapText="1"/>
    </xf>
    <xf numFmtId="0" fontId="32" fillId="2" borderId="38" xfId="0" applyFont="1" applyFill="1" applyBorder="1" applyAlignment="1">
      <alignment horizontal="left" vertical="center" wrapText="1"/>
    </xf>
    <xf numFmtId="0" fontId="32" fillId="2" borderId="22" xfId="0" applyFont="1" applyFill="1" applyBorder="1" applyAlignment="1">
      <alignment horizontal="center" vertical="center" wrapText="1"/>
    </xf>
    <xf numFmtId="17" fontId="20" fillId="2" borderId="16" xfId="0" applyNumberFormat="1" applyFont="1" applyFill="1" applyBorder="1" applyAlignment="1">
      <alignment horizontal="center" vertical="center" wrapText="1"/>
    </xf>
    <xf numFmtId="17" fontId="20" fillId="2" borderId="17" xfId="0" applyNumberFormat="1" applyFont="1" applyFill="1" applyBorder="1" applyAlignment="1">
      <alignment horizontal="center" vertical="center" wrapText="1"/>
    </xf>
    <xf numFmtId="0" fontId="59" fillId="2" borderId="34" xfId="0" applyFont="1" applyFill="1" applyBorder="1" applyAlignment="1">
      <alignment horizontal="center" vertical="center" wrapText="1"/>
    </xf>
    <xf numFmtId="0" fontId="59" fillId="2" borderId="37" xfId="0" applyFont="1" applyFill="1" applyBorder="1" applyAlignment="1">
      <alignment horizontal="center" vertical="center" wrapText="1"/>
    </xf>
    <xf numFmtId="0" fontId="59" fillId="2" borderId="20" xfId="0" applyFont="1" applyFill="1" applyBorder="1" applyAlignment="1">
      <alignment horizontal="center" vertical="center" wrapText="1"/>
    </xf>
    <xf numFmtId="17" fontId="20" fillId="6" borderId="68" xfId="5" applyNumberFormat="1" applyFont="1" applyFill="1" applyBorder="1" applyAlignment="1">
      <alignment horizontal="center" vertical="center" wrapText="1"/>
    </xf>
    <xf numFmtId="0" fontId="64" fillId="6" borderId="68" xfId="5" applyNumberFormat="1" applyFont="1" applyFill="1" applyBorder="1" applyAlignment="1">
      <alignment horizontal="center" vertical="center" wrapText="1"/>
    </xf>
    <xf numFmtId="0" fontId="64" fillId="2" borderId="68" xfId="0" applyFont="1" applyFill="1" applyBorder="1" applyAlignment="1">
      <alignment horizontal="left" vertical="center" wrapText="1"/>
    </xf>
    <xf numFmtId="3" fontId="32" fillId="2" borderId="68" xfId="0" applyNumberFormat="1" applyFont="1" applyFill="1" applyBorder="1" applyAlignment="1">
      <alignment horizontal="right" vertical="center" wrapText="1"/>
    </xf>
    <xf numFmtId="3" fontId="20" fillId="2" borderId="68" xfId="0" applyNumberFormat="1" applyFont="1" applyFill="1" applyBorder="1" applyAlignment="1">
      <alignment horizontal="right" vertical="center" wrapText="1"/>
    </xf>
    <xf numFmtId="3" fontId="21" fillId="2" borderId="68" xfId="0" applyNumberFormat="1" applyFont="1" applyFill="1" applyBorder="1" applyAlignment="1">
      <alignment horizontal="right" vertical="center" wrapText="1"/>
    </xf>
    <xf numFmtId="3" fontId="27" fillId="2" borderId="68" xfId="6" applyNumberFormat="1" applyFont="1" applyFill="1" applyBorder="1" applyAlignment="1">
      <alignment horizontal="right" vertical="center"/>
    </xf>
    <xf numFmtId="3" fontId="64" fillId="2" borderId="70" xfId="0" applyNumberFormat="1" applyFont="1" applyFill="1" applyBorder="1" applyAlignment="1">
      <alignment horizontal="right" vertical="center" wrapText="1"/>
    </xf>
    <xf numFmtId="3" fontId="64" fillId="2" borderId="71" xfId="0" applyNumberFormat="1" applyFont="1" applyFill="1" applyBorder="1" applyAlignment="1">
      <alignment horizontal="right" vertical="center" wrapText="1"/>
    </xf>
    <xf numFmtId="3" fontId="64" fillId="2" borderId="98" xfId="0" applyNumberFormat="1" applyFont="1" applyFill="1" applyBorder="1" applyAlignment="1">
      <alignment horizontal="right" vertical="center" wrapText="1"/>
    </xf>
    <xf numFmtId="0" fontId="70" fillId="7" borderId="81" xfId="0" applyFont="1" applyFill="1" applyBorder="1" applyAlignment="1">
      <alignment horizontal="center" vertical="center" wrapText="1"/>
    </xf>
    <xf numFmtId="0" fontId="70" fillId="7" borderId="97" xfId="0" applyFont="1" applyFill="1" applyBorder="1" applyAlignment="1">
      <alignment horizontal="center" vertical="center" wrapText="1"/>
    </xf>
    <xf numFmtId="0" fontId="70" fillId="7" borderId="93" xfId="0" applyFont="1" applyFill="1" applyBorder="1" applyAlignment="1">
      <alignment horizontal="center" vertical="center" wrapText="1"/>
    </xf>
    <xf numFmtId="172" fontId="71" fillId="7" borderId="81" xfId="0" applyNumberFormat="1" applyFont="1" applyFill="1" applyBorder="1" applyAlignment="1">
      <alignment horizontal="center" vertical="center" wrapText="1"/>
    </xf>
    <xf numFmtId="172" fontId="71" fillId="7" borderId="93" xfId="0" applyNumberFormat="1" applyFont="1" applyFill="1" applyBorder="1" applyAlignment="1">
      <alignment horizontal="center" vertical="center" wrapText="1"/>
    </xf>
    <xf numFmtId="0" fontId="33" fillId="7" borderId="81" xfId="0" applyFont="1" applyFill="1" applyBorder="1" applyAlignment="1">
      <alignment horizontal="left" vertical="center"/>
    </xf>
    <xf numFmtId="0" fontId="33" fillId="7" borderId="97" xfId="0" applyFont="1" applyFill="1" applyBorder="1" applyAlignment="1">
      <alignment horizontal="left" vertical="center"/>
    </xf>
    <xf numFmtId="0" fontId="33" fillId="7" borderId="93" xfId="0" applyFont="1" applyFill="1" applyBorder="1" applyAlignment="1">
      <alignment horizontal="left" vertical="center"/>
    </xf>
    <xf numFmtId="3" fontId="32" fillId="2" borderId="78" xfId="0" applyNumberFormat="1" applyFont="1" applyFill="1" applyBorder="1" applyAlignment="1">
      <alignment horizontal="right" vertical="center" wrapText="1"/>
    </xf>
    <xf numFmtId="3" fontId="32" fillId="2" borderId="81" xfId="0" applyNumberFormat="1" applyFont="1" applyFill="1" applyBorder="1" applyAlignment="1">
      <alignment horizontal="right" vertical="center" wrapText="1"/>
    </xf>
    <xf numFmtId="3" fontId="32" fillId="2" borderId="19" xfId="0" applyNumberFormat="1" applyFont="1" applyFill="1" applyBorder="1" applyAlignment="1">
      <alignment horizontal="right" vertical="center" wrapText="1"/>
    </xf>
    <xf numFmtId="3" fontId="21" fillId="2" borderId="76" xfId="0" applyNumberFormat="1" applyFont="1" applyFill="1" applyBorder="1" applyAlignment="1">
      <alignment horizontal="right" vertical="center" wrapText="1"/>
    </xf>
    <xf numFmtId="3" fontId="21" fillId="2" borderId="16" xfId="0" applyNumberFormat="1" applyFont="1" applyFill="1" applyBorder="1" applyAlignment="1">
      <alignment horizontal="right" vertical="center" wrapText="1"/>
    </xf>
    <xf numFmtId="3" fontId="21" fillId="2" borderId="60" xfId="0" applyNumberFormat="1" applyFont="1" applyFill="1" applyBorder="1" applyAlignment="1">
      <alignment horizontal="right" vertical="center" wrapText="1"/>
    </xf>
    <xf numFmtId="3" fontId="27" fillId="2" borderId="76" xfId="6" applyNumberFormat="1" applyFont="1" applyFill="1" applyBorder="1" applyAlignment="1">
      <alignment horizontal="right" vertical="center" wrapText="1"/>
    </xf>
    <xf numFmtId="3" fontId="27" fillId="2" borderId="16" xfId="6" applyNumberFormat="1" applyFont="1" applyFill="1" applyBorder="1" applyAlignment="1">
      <alignment horizontal="right" vertical="center" wrapText="1"/>
    </xf>
    <xf numFmtId="3" fontId="27" fillId="2" borderId="60" xfId="6" applyNumberFormat="1" applyFont="1" applyFill="1" applyBorder="1" applyAlignment="1">
      <alignment horizontal="right" vertical="center" wrapText="1"/>
    </xf>
    <xf numFmtId="3" fontId="32" fillId="2" borderId="89" xfId="0" applyNumberFormat="1" applyFont="1" applyFill="1" applyBorder="1" applyAlignment="1">
      <alignment horizontal="right" vertical="center" wrapText="1"/>
    </xf>
    <xf numFmtId="3" fontId="32" fillId="2" borderId="36" xfId="0" applyNumberFormat="1" applyFont="1" applyFill="1" applyBorder="1" applyAlignment="1">
      <alignment horizontal="right" vertical="center" wrapText="1"/>
    </xf>
    <xf numFmtId="3" fontId="32" fillId="2" borderId="28" xfId="0" applyNumberFormat="1" applyFont="1" applyFill="1" applyBorder="1" applyAlignment="1">
      <alignment horizontal="right" vertical="center" wrapText="1"/>
    </xf>
    <xf numFmtId="3" fontId="20" fillId="2" borderId="82" xfId="0" applyNumberFormat="1" applyFont="1" applyFill="1" applyBorder="1" applyAlignment="1">
      <alignment horizontal="right" vertical="center" wrapText="1"/>
    </xf>
    <xf numFmtId="3" fontId="20" fillId="2" borderId="16" xfId="0" applyNumberFormat="1" applyFont="1" applyFill="1" applyBorder="1" applyAlignment="1">
      <alignment horizontal="right" vertical="center" wrapText="1"/>
    </xf>
    <xf numFmtId="3" fontId="21" fillId="2" borderId="82" xfId="0" applyNumberFormat="1" applyFont="1" applyFill="1" applyBorder="1" applyAlignment="1">
      <alignment horizontal="right" vertical="center" wrapText="1"/>
    </xf>
    <xf numFmtId="3" fontId="32" fillId="2" borderId="73" xfId="0" applyNumberFormat="1" applyFont="1" applyFill="1" applyBorder="1" applyAlignment="1">
      <alignment horizontal="right" vertical="center" wrapText="1"/>
    </xf>
    <xf numFmtId="3" fontId="32" fillId="2" borderId="79" xfId="0" applyNumberFormat="1" applyFont="1" applyFill="1" applyBorder="1" applyAlignment="1">
      <alignment horizontal="right" vertical="center" wrapText="1"/>
    </xf>
    <xf numFmtId="3" fontId="32" fillId="2" borderId="87" xfId="0" applyNumberFormat="1" applyFont="1" applyFill="1" applyBorder="1" applyAlignment="1">
      <alignment horizontal="right" vertical="center" wrapText="1"/>
    </xf>
    <xf numFmtId="3" fontId="27" fillId="2" borderId="76" xfId="6" applyNumberFormat="1" applyFont="1" applyFill="1" applyBorder="1" applyAlignment="1">
      <alignment horizontal="right" vertical="center"/>
    </xf>
    <xf numFmtId="3" fontId="27" fillId="2" borderId="16" xfId="6" applyNumberFormat="1" applyFont="1" applyFill="1" applyBorder="1" applyAlignment="1">
      <alignment horizontal="right" vertical="center"/>
    </xf>
    <xf numFmtId="3" fontId="27" fillId="2" borderId="60" xfId="6" applyNumberFormat="1" applyFont="1" applyFill="1" applyBorder="1" applyAlignment="1">
      <alignment horizontal="right" vertical="center"/>
    </xf>
    <xf numFmtId="3" fontId="27" fillId="2" borderId="83" xfId="6" applyNumberFormat="1" applyFont="1" applyFill="1" applyBorder="1" applyAlignment="1">
      <alignment horizontal="right" vertical="center"/>
    </xf>
    <xf numFmtId="3" fontId="45" fillId="2" borderId="36" xfId="0" applyNumberFormat="1" applyFont="1" applyFill="1" applyBorder="1" applyAlignment="1">
      <alignment horizontal="right" vertical="center" wrapText="1"/>
    </xf>
    <xf numFmtId="3" fontId="45" fillId="2" borderId="28" xfId="0" applyNumberFormat="1" applyFont="1" applyFill="1" applyBorder="1" applyAlignment="1">
      <alignment horizontal="right" vertical="center" wrapText="1"/>
    </xf>
    <xf numFmtId="3" fontId="32" fillId="2" borderId="89" xfId="0" applyNumberFormat="1" applyFont="1" applyFill="1" applyBorder="1" applyAlignment="1">
      <alignment horizontal="right" vertical="top" wrapText="1"/>
    </xf>
    <xf numFmtId="3" fontId="32" fillId="2" borderId="36" xfId="0" applyNumberFormat="1" applyFont="1" applyFill="1" applyBorder="1" applyAlignment="1">
      <alignment horizontal="right" vertical="top" wrapText="1"/>
    </xf>
    <xf numFmtId="3" fontId="32" fillId="2" borderId="28" xfId="0" applyNumberFormat="1" applyFont="1" applyFill="1" applyBorder="1" applyAlignment="1">
      <alignment horizontal="right" vertical="top" wrapText="1"/>
    </xf>
    <xf numFmtId="3" fontId="20" fillId="2" borderId="76" xfId="0" applyNumberFormat="1" applyFont="1" applyFill="1" applyBorder="1" applyAlignment="1">
      <alignment horizontal="right" vertical="center" wrapText="1"/>
    </xf>
    <xf numFmtId="3" fontId="20" fillId="2" borderId="83" xfId="0" applyNumberFormat="1" applyFont="1" applyFill="1" applyBorder="1" applyAlignment="1">
      <alignment horizontal="right" vertical="center" wrapText="1"/>
    </xf>
    <xf numFmtId="3" fontId="21" fillId="2" borderId="83" xfId="0" applyNumberFormat="1" applyFont="1" applyFill="1" applyBorder="1" applyAlignment="1">
      <alignment horizontal="right" vertical="center" wrapText="1"/>
    </xf>
  </cellXfs>
  <cellStyles count="17">
    <cellStyle name="Comma" xfId="1" builtinId="3"/>
    <cellStyle name="Comma [0]" xfId="2" builtinId="6"/>
    <cellStyle name="Heading 2" xfId="3" builtinId="17"/>
    <cellStyle name="Milliers [0] 2" xfId="7" xr:uid="{00000000-0005-0000-0000-000002000000}"/>
    <cellStyle name="Milliers 2" xfId="8" xr:uid="{00000000-0005-0000-0000-000003000000}"/>
    <cellStyle name="Milliers 2 2" xfId="9" xr:uid="{00000000-0005-0000-0000-000004000000}"/>
    <cellStyle name="Milliers 3" xfId="6" xr:uid="{00000000-0005-0000-0000-000005000000}"/>
    <cellStyle name="Normal" xfId="0" builtinId="0"/>
    <cellStyle name="Normal 2" xfId="4" xr:uid="{00000000-0005-0000-0000-000007000000}"/>
    <cellStyle name="Normal 3" xfId="10" xr:uid="{00000000-0005-0000-0000-000008000000}"/>
    <cellStyle name="Normal 3 2" xfId="11" xr:uid="{00000000-0005-0000-0000-000009000000}"/>
    <cellStyle name="Normal 3 3" xfId="12" xr:uid="{00000000-0005-0000-0000-00000A000000}"/>
    <cellStyle name="Normal 4" xfId="13" xr:uid="{00000000-0005-0000-0000-00000B000000}"/>
    <cellStyle name="Normal 5" xfId="14" xr:uid="{00000000-0005-0000-0000-00000C000000}"/>
    <cellStyle name="Normal 6" xfId="15" xr:uid="{00000000-0005-0000-0000-00000D000000}"/>
    <cellStyle name="Normal 7" xfId="5" xr:uid="{00000000-0005-0000-0000-00000E000000}"/>
    <cellStyle name="Pourcentage 2" xfId="16" xr:uid="{00000000-0005-0000-0000-00000F00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585"/>
  <sheetViews>
    <sheetView tabSelected="1" zoomScale="60" zoomScaleNormal="60" zoomScalePageLayoutView="82" workbookViewId="0">
      <selection activeCell="L9" sqref="L9"/>
    </sheetView>
  </sheetViews>
  <sheetFormatPr defaultColWidth="11.5546875" defaultRowHeight="26.25" customHeight="1" x14ac:dyDescent="0.35"/>
  <cols>
    <col min="1" max="1" width="11" style="1" customWidth="1"/>
    <col min="2" max="2" width="11.6640625" customWidth="1"/>
    <col min="3" max="3" width="36.88671875" style="1" customWidth="1"/>
    <col min="4" max="4" width="13.6640625" hidden="1" customWidth="1"/>
    <col min="5" max="5" width="26.88671875" hidden="1" customWidth="1"/>
    <col min="6" max="6" width="44.6640625" hidden="1" customWidth="1"/>
    <col min="7" max="7" width="30.6640625" hidden="1" customWidth="1"/>
    <col min="8" max="8" width="37.33203125" style="51" hidden="1" customWidth="1"/>
    <col min="9" max="9" width="38.44140625" style="51" hidden="1" customWidth="1"/>
    <col min="10" max="10" width="31.88671875" style="51" hidden="1" customWidth="1"/>
    <col min="11" max="11" width="39.6640625" bestFit="1" customWidth="1"/>
    <col min="12" max="12" width="37.44140625" style="66" bestFit="1" customWidth="1"/>
    <col min="13" max="13" width="41" style="69" bestFit="1" customWidth="1"/>
    <col min="14" max="14" width="30.44140625" style="70" customWidth="1"/>
    <col min="15" max="15" width="48" style="71" bestFit="1" customWidth="1"/>
    <col min="16" max="16" width="43.88671875" style="69" bestFit="1" customWidth="1"/>
    <col min="17" max="17" width="15.44140625" style="2" customWidth="1"/>
  </cols>
  <sheetData>
    <row r="1" spans="1:17" ht="26.25" customHeight="1" x14ac:dyDescent="0.3">
      <c r="A1" s="468" t="s">
        <v>1</v>
      </c>
      <c r="B1" s="468"/>
      <c r="C1" s="468"/>
      <c r="D1" s="468"/>
      <c r="E1" s="468"/>
      <c r="F1" s="468"/>
      <c r="G1" s="468"/>
      <c r="H1" s="468"/>
      <c r="I1" s="468"/>
      <c r="J1" s="468"/>
      <c r="K1" s="468"/>
      <c r="L1" s="468"/>
      <c r="M1" s="468"/>
      <c r="N1" s="468"/>
      <c r="O1" s="468"/>
      <c r="P1" s="468"/>
    </row>
    <row r="2" spans="1:17" ht="26.25" customHeight="1" x14ac:dyDescent="0.3">
      <c r="A2" s="469" t="s">
        <v>2</v>
      </c>
      <c r="B2" s="469"/>
      <c r="C2" s="469"/>
      <c r="D2" s="469"/>
      <c r="E2" s="469"/>
      <c r="F2" s="469"/>
      <c r="G2" s="469"/>
      <c r="H2" s="469"/>
      <c r="I2" s="469"/>
      <c r="J2" s="469"/>
      <c r="K2" s="469"/>
      <c r="L2" s="469"/>
      <c r="M2" s="469"/>
      <c r="N2" s="469"/>
      <c r="O2" s="469"/>
      <c r="P2" s="469"/>
    </row>
    <row r="3" spans="1:17" ht="26.25" customHeight="1" x14ac:dyDescent="0.3">
      <c r="A3" s="468" t="s">
        <v>0</v>
      </c>
      <c r="B3" s="468"/>
      <c r="C3" s="468"/>
      <c r="D3" s="468"/>
      <c r="E3" s="468"/>
      <c r="F3" s="468"/>
      <c r="G3" s="468"/>
      <c r="H3" s="468"/>
      <c r="I3" s="468"/>
      <c r="J3" s="468"/>
      <c r="K3" s="468"/>
      <c r="L3" s="468"/>
      <c r="M3" s="468"/>
      <c r="N3" s="468"/>
      <c r="O3" s="468"/>
      <c r="P3" s="468"/>
    </row>
    <row r="4" spans="1:17" ht="26.25" customHeight="1" thickBot="1" x14ac:dyDescent="0.35">
      <c r="A4" s="3"/>
      <c r="B4" s="4"/>
      <c r="C4" s="453"/>
      <c r="D4" s="5"/>
      <c r="E4" s="6"/>
      <c r="F4" s="7"/>
      <c r="G4" s="5"/>
      <c r="H4" s="8"/>
      <c r="I4" s="9"/>
      <c r="J4" s="9"/>
      <c r="K4" s="10"/>
      <c r="L4" s="11"/>
      <c r="M4" s="199"/>
      <c r="N4" s="11"/>
      <c r="O4" s="268"/>
      <c r="P4" s="199"/>
    </row>
    <row r="5" spans="1:17" ht="46.8" thickBot="1" x14ac:dyDescent="0.9">
      <c r="A5" s="470" t="s">
        <v>3</v>
      </c>
      <c r="B5" s="471"/>
      <c r="C5" s="471"/>
      <c r="D5" s="471"/>
      <c r="E5" s="471"/>
      <c r="F5" s="471"/>
      <c r="G5" s="471"/>
      <c r="H5" s="471"/>
      <c r="I5" s="471"/>
      <c r="J5" s="471"/>
      <c r="K5" s="471"/>
      <c r="L5" s="471"/>
      <c r="M5" s="471"/>
      <c r="N5" s="471"/>
      <c r="O5" s="471"/>
      <c r="P5" s="472"/>
    </row>
    <row r="6" spans="1:17" ht="26.25" customHeight="1" x14ac:dyDescent="0.85">
      <c r="A6" s="269"/>
      <c r="B6" s="270"/>
      <c r="C6" s="269"/>
      <c r="D6" s="270"/>
      <c r="E6" s="270"/>
      <c r="F6" s="270"/>
      <c r="G6" s="270"/>
      <c r="H6" s="271"/>
      <c r="I6" s="271"/>
      <c r="J6" s="271"/>
      <c r="K6" s="270"/>
      <c r="L6" s="12"/>
      <c r="M6" s="272"/>
      <c r="N6" s="12"/>
      <c r="O6" s="273"/>
      <c r="P6" s="272"/>
    </row>
    <row r="7" spans="1:17" ht="47.25" customHeight="1" thickBot="1" x14ac:dyDescent="0.35">
      <c r="A7" s="473"/>
      <c r="B7" s="474"/>
      <c r="C7" s="474"/>
      <c r="D7" s="474"/>
      <c r="E7" s="474"/>
      <c r="F7" s="475"/>
      <c r="G7" s="475"/>
      <c r="H7" s="474"/>
      <c r="I7" s="474"/>
      <c r="J7" s="474"/>
      <c r="K7" s="474"/>
      <c r="L7" s="474"/>
      <c r="M7" s="474"/>
      <c r="N7" s="474"/>
      <c r="O7" s="474"/>
      <c r="P7" s="474"/>
    </row>
    <row r="8" spans="1:17" ht="70.8" thickTop="1" thickBot="1" x14ac:dyDescent="0.35">
      <c r="A8" s="294" t="s">
        <v>4</v>
      </c>
      <c r="B8" s="295" t="s">
        <v>5</v>
      </c>
      <c r="C8" s="296" t="s">
        <v>6</v>
      </c>
      <c r="D8" s="297" t="s">
        <v>7</v>
      </c>
      <c r="E8" s="298" t="s">
        <v>8</v>
      </c>
      <c r="F8" s="299" t="s">
        <v>9</v>
      </c>
      <c r="G8" s="300" t="s">
        <v>10</v>
      </c>
      <c r="H8" s="301" t="s">
        <v>11</v>
      </c>
      <c r="I8" s="302" t="s">
        <v>12</v>
      </c>
      <c r="J8" s="302" t="s">
        <v>13</v>
      </c>
      <c r="K8" s="303" t="s">
        <v>14</v>
      </c>
      <c r="L8" s="188" t="s">
        <v>15</v>
      </c>
      <c r="M8" s="304" t="s">
        <v>16</v>
      </c>
      <c r="N8" s="188" t="s">
        <v>17</v>
      </c>
      <c r="O8" s="304" t="s">
        <v>18</v>
      </c>
      <c r="P8" s="304" t="s">
        <v>19</v>
      </c>
      <c r="Q8" s="13"/>
    </row>
    <row r="9" spans="1:17" s="193" customFormat="1" ht="104.4" x14ac:dyDescent="0.3">
      <c r="A9" s="94" t="s">
        <v>20</v>
      </c>
      <c r="B9" s="95" t="s">
        <v>21</v>
      </c>
      <c r="C9" s="96" t="s">
        <v>22</v>
      </c>
      <c r="D9" s="97">
        <v>42401</v>
      </c>
      <c r="E9" s="28" t="s">
        <v>23</v>
      </c>
      <c r="F9" s="98" t="s">
        <v>24</v>
      </c>
      <c r="G9" s="99" t="s">
        <v>25</v>
      </c>
      <c r="H9" s="305">
        <v>1869600</v>
      </c>
      <c r="I9" s="306">
        <v>10500000</v>
      </c>
      <c r="J9" s="306">
        <v>-8129600</v>
      </c>
      <c r="K9" s="290">
        <v>4240000</v>
      </c>
      <c r="L9" s="307">
        <v>2072100</v>
      </c>
      <c r="M9" s="308">
        <f>K9-L9</f>
        <v>2167900</v>
      </c>
      <c r="N9" s="309">
        <v>-1407900</v>
      </c>
      <c r="O9" s="291">
        <v>4240000</v>
      </c>
      <c r="P9" s="309">
        <f>SUM(M9:O9)</f>
        <v>5000000</v>
      </c>
      <c r="Q9" s="15"/>
    </row>
    <row r="10" spans="1:17" s="193" customFormat="1" ht="78" x14ac:dyDescent="0.3">
      <c r="A10" s="476" t="s">
        <v>26</v>
      </c>
      <c r="B10" s="25" t="s">
        <v>27</v>
      </c>
      <c r="C10" s="14" t="s">
        <v>28</v>
      </c>
      <c r="D10" s="72" t="s">
        <v>29</v>
      </c>
      <c r="E10" s="17" t="s">
        <v>30</v>
      </c>
      <c r="F10" s="73" t="s">
        <v>24</v>
      </c>
      <c r="G10" s="25" t="s">
        <v>31</v>
      </c>
      <c r="H10" s="310">
        <v>7889600</v>
      </c>
      <c r="I10" s="311">
        <v>6000000</v>
      </c>
      <c r="J10" s="311">
        <f>K10-(H10+I10)</f>
        <v>-5289600</v>
      </c>
      <c r="K10" s="290">
        <v>8600000</v>
      </c>
      <c r="L10" s="307">
        <v>33350</v>
      </c>
      <c r="M10" s="309">
        <f t="shared" ref="M10:M76" si="0">K10-L10</f>
        <v>8566650</v>
      </c>
      <c r="N10" s="309">
        <v>-8566650</v>
      </c>
      <c r="O10" s="291">
        <v>6000000</v>
      </c>
      <c r="P10" s="309">
        <f>SUM(M10:O10)</f>
        <v>6000000</v>
      </c>
      <c r="Q10" s="15"/>
    </row>
    <row r="11" spans="1:17" s="193" customFormat="1" ht="62.4" x14ac:dyDescent="0.3">
      <c r="A11" s="477"/>
      <c r="B11" s="25" t="s">
        <v>32</v>
      </c>
      <c r="C11" s="14" t="s">
        <v>33</v>
      </c>
      <c r="D11" s="74">
        <v>42644</v>
      </c>
      <c r="E11" s="17" t="s">
        <v>34</v>
      </c>
      <c r="F11" s="73" t="s">
        <v>35</v>
      </c>
      <c r="G11" s="25" t="s">
        <v>36</v>
      </c>
      <c r="H11" s="312">
        <v>0</v>
      </c>
      <c r="I11" s="313">
        <v>0</v>
      </c>
      <c r="J11" s="314">
        <v>3075000</v>
      </c>
      <c r="K11" s="290">
        <v>3075000</v>
      </c>
      <c r="L11" s="307">
        <v>1810985</v>
      </c>
      <c r="M11" s="309">
        <f>K11-L11</f>
        <v>1264015</v>
      </c>
      <c r="N11" s="309">
        <f>-(N9+N12)</f>
        <v>3070200</v>
      </c>
      <c r="O11" s="291">
        <v>2100000</v>
      </c>
      <c r="P11" s="309">
        <f t="shared" ref="P11:P77" si="1">SUM(M11:O11)</f>
        <v>6434215</v>
      </c>
      <c r="Q11" s="15"/>
    </row>
    <row r="12" spans="1:17" s="193" customFormat="1" ht="278.39999999999998" x14ac:dyDescent="0.3">
      <c r="A12" s="76" t="s">
        <v>37</v>
      </c>
      <c r="B12" s="72" t="s">
        <v>38</v>
      </c>
      <c r="C12" s="455" t="s">
        <v>39</v>
      </c>
      <c r="D12" s="74">
        <v>42370</v>
      </c>
      <c r="E12" s="17" t="s">
        <v>40</v>
      </c>
      <c r="F12" s="17" t="s">
        <v>24</v>
      </c>
      <c r="G12" s="25" t="s">
        <v>41</v>
      </c>
      <c r="H12" s="312">
        <v>749900</v>
      </c>
      <c r="I12" s="314">
        <v>3000000</v>
      </c>
      <c r="J12" s="314">
        <f>K12-(H12+I12)</f>
        <v>375000</v>
      </c>
      <c r="K12" s="361">
        <v>4124900</v>
      </c>
      <c r="L12" s="307">
        <v>712600</v>
      </c>
      <c r="M12" s="309">
        <f t="shared" si="0"/>
        <v>3412300</v>
      </c>
      <c r="N12" s="309">
        <v>-1662300</v>
      </c>
      <c r="O12" s="291">
        <v>2250000</v>
      </c>
      <c r="P12" s="309">
        <f t="shared" si="1"/>
        <v>4000000</v>
      </c>
      <c r="Q12" s="15"/>
    </row>
    <row r="13" spans="1:17" s="193" customFormat="1" ht="78" x14ac:dyDescent="0.3">
      <c r="A13" s="478" t="s">
        <v>42</v>
      </c>
      <c r="B13" s="25" t="s">
        <v>43</v>
      </c>
      <c r="C13" s="455" t="s">
        <v>44</v>
      </c>
      <c r="D13" s="75" t="s">
        <v>45</v>
      </c>
      <c r="E13" s="479" t="s">
        <v>46</v>
      </c>
      <c r="F13" s="479" t="s">
        <v>47</v>
      </c>
      <c r="G13" s="481" t="s">
        <v>48</v>
      </c>
      <c r="H13" s="483">
        <v>9422230</v>
      </c>
      <c r="I13" s="314">
        <v>4000000</v>
      </c>
      <c r="J13" s="314">
        <f>K13-I13</f>
        <v>6100000</v>
      </c>
      <c r="K13" s="361">
        <v>10100000</v>
      </c>
      <c r="L13" s="307">
        <v>4845700</v>
      </c>
      <c r="M13" s="309">
        <f t="shared" si="0"/>
        <v>5254300</v>
      </c>
      <c r="N13" s="309">
        <v>-5254300</v>
      </c>
      <c r="O13" s="291">
        <v>10000000</v>
      </c>
      <c r="P13" s="309">
        <f t="shared" si="1"/>
        <v>10000000</v>
      </c>
      <c r="Q13" s="15"/>
    </row>
    <row r="14" spans="1:17" s="193" customFormat="1" ht="72" x14ac:dyDescent="0.3">
      <c r="A14" s="478"/>
      <c r="B14" s="25" t="s">
        <v>49</v>
      </c>
      <c r="C14" s="455" t="s">
        <v>50</v>
      </c>
      <c r="D14" s="24">
        <v>42522</v>
      </c>
      <c r="E14" s="480"/>
      <c r="F14" s="480"/>
      <c r="G14" s="482"/>
      <c r="H14" s="484"/>
      <c r="I14" s="315">
        <v>0</v>
      </c>
      <c r="J14" s="314">
        <f>K14</f>
        <v>3382900</v>
      </c>
      <c r="K14" s="361">
        <v>3382900</v>
      </c>
      <c r="L14" s="307">
        <f>3251395+100</f>
        <v>3251495</v>
      </c>
      <c r="M14" s="309">
        <f t="shared" si="0"/>
        <v>131405</v>
      </c>
      <c r="N14" s="309">
        <v>-131505</v>
      </c>
      <c r="O14" s="291">
        <v>0</v>
      </c>
      <c r="P14" s="309">
        <f t="shared" si="1"/>
        <v>-100</v>
      </c>
      <c r="Q14" s="15"/>
    </row>
    <row r="15" spans="1:17" s="193" customFormat="1" ht="54" x14ac:dyDescent="0.3">
      <c r="A15" s="76"/>
      <c r="B15" s="25" t="s">
        <v>51</v>
      </c>
      <c r="C15" s="455" t="s">
        <v>52</v>
      </c>
      <c r="D15" s="24"/>
      <c r="E15" s="28"/>
      <c r="F15" s="77"/>
      <c r="G15" s="100"/>
      <c r="H15" s="305"/>
      <c r="I15" s="316"/>
      <c r="J15" s="314"/>
      <c r="K15" s="361">
        <v>0</v>
      </c>
      <c r="L15" s="307">
        <v>0</v>
      </c>
      <c r="M15" s="309">
        <f t="shared" si="0"/>
        <v>0</v>
      </c>
      <c r="N15" s="309">
        <f>-(N13+N10+N14)</f>
        <v>13952455</v>
      </c>
      <c r="O15" s="291">
        <v>8000000</v>
      </c>
      <c r="P15" s="309">
        <f t="shared" si="1"/>
        <v>21952455</v>
      </c>
      <c r="Q15" s="15"/>
    </row>
    <row r="16" spans="1:17" s="193" customFormat="1" ht="36" x14ac:dyDescent="0.3">
      <c r="A16" s="476" t="s">
        <v>53</v>
      </c>
      <c r="B16" s="25" t="s">
        <v>54</v>
      </c>
      <c r="C16" s="455" t="s">
        <v>55</v>
      </c>
      <c r="D16" s="24">
        <v>42614</v>
      </c>
      <c r="E16" s="18" t="s">
        <v>56</v>
      </c>
      <c r="F16" s="479" t="s">
        <v>57</v>
      </c>
      <c r="G16" s="492" t="s">
        <v>58</v>
      </c>
      <c r="H16" s="315">
        <v>899900</v>
      </c>
      <c r="I16" s="495">
        <v>14500000</v>
      </c>
      <c r="J16" s="315">
        <v>3600100</v>
      </c>
      <c r="K16" s="362">
        <f>H16+J16</f>
        <v>4500000</v>
      </c>
      <c r="L16" s="307">
        <v>2966555</v>
      </c>
      <c r="M16" s="309">
        <f t="shared" si="0"/>
        <v>1533445</v>
      </c>
      <c r="N16" s="309">
        <v>0</v>
      </c>
      <c r="O16" s="291">
        <v>2500000</v>
      </c>
      <c r="P16" s="309">
        <f t="shared" si="1"/>
        <v>4033445</v>
      </c>
      <c r="Q16" s="15"/>
    </row>
    <row r="17" spans="1:18" s="193" customFormat="1" ht="126" x14ac:dyDescent="0.3">
      <c r="A17" s="485"/>
      <c r="B17" s="25" t="s">
        <v>59</v>
      </c>
      <c r="C17" s="455" t="s">
        <v>60</v>
      </c>
      <c r="D17" s="24">
        <v>42644</v>
      </c>
      <c r="E17" s="17" t="s">
        <v>61</v>
      </c>
      <c r="F17" s="486"/>
      <c r="G17" s="493"/>
      <c r="H17" s="315">
        <v>0</v>
      </c>
      <c r="I17" s="496"/>
      <c r="J17" s="315">
        <v>4580400</v>
      </c>
      <c r="K17" s="362">
        <v>4500000</v>
      </c>
      <c r="L17" s="307">
        <v>0</v>
      </c>
      <c r="M17" s="309">
        <f t="shared" si="0"/>
        <v>4500000</v>
      </c>
      <c r="N17" s="309">
        <v>0</v>
      </c>
      <c r="O17" s="291">
        <v>0</v>
      </c>
      <c r="P17" s="309">
        <f t="shared" si="1"/>
        <v>4500000</v>
      </c>
      <c r="Q17" s="15"/>
    </row>
    <row r="18" spans="1:18" s="193" customFormat="1" ht="54" x14ac:dyDescent="0.3">
      <c r="A18" s="485"/>
      <c r="B18" s="25" t="s">
        <v>62</v>
      </c>
      <c r="C18" s="455" t="s">
        <v>63</v>
      </c>
      <c r="D18" s="24">
        <v>42675</v>
      </c>
      <c r="E18" s="17" t="s">
        <v>64</v>
      </c>
      <c r="F18" s="486"/>
      <c r="G18" s="493"/>
      <c r="H18" s="315">
        <v>0</v>
      </c>
      <c r="I18" s="496"/>
      <c r="J18" s="315">
        <v>6000000</v>
      </c>
      <c r="K18" s="362">
        <f t="shared" ref="K18:K25" si="2">H18+J18</f>
        <v>6000000</v>
      </c>
      <c r="L18" s="307">
        <v>0</v>
      </c>
      <c r="M18" s="309">
        <f t="shared" si="0"/>
        <v>6000000</v>
      </c>
      <c r="N18" s="309">
        <f>1687592+1000000+2000000</f>
        <v>4687592</v>
      </c>
      <c r="O18" s="291">
        <v>2000000</v>
      </c>
      <c r="P18" s="309">
        <f t="shared" si="1"/>
        <v>12687592</v>
      </c>
      <c r="Q18" s="15"/>
    </row>
    <row r="19" spans="1:18" s="193" customFormat="1" ht="72" x14ac:dyDescent="0.3">
      <c r="A19" s="485"/>
      <c r="B19" s="25" t="s">
        <v>65</v>
      </c>
      <c r="C19" s="455" t="s">
        <v>1144</v>
      </c>
      <c r="D19" s="24">
        <v>42644</v>
      </c>
      <c r="E19" s="17" t="s">
        <v>66</v>
      </c>
      <c r="F19" s="486"/>
      <c r="G19" s="493"/>
      <c r="H19" s="315">
        <v>12326000</v>
      </c>
      <c r="I19" s="496"/>
      <c r="J19" s="315">
        <v>-2826000</v>
      </c>
      <c r="K19" s="362">
        <f>H19+J19</f>
        <v>9500000</v>
      </c>
      <c r="L19" s="307">
        <f>2190000-19000</f>
        <v>2171000</v>
      </c>
      <c r="M19" s="309">
        <f>K19-L19</f>
        <v>7329000</v>
      </c>
      <c r="N19" s="309">
        <v>1000000</v>
      </c>
      <c r="O19" s="291">
        <v>0</v>
      </c>
      <c r="P19" s="309">
        <f t="shared" si="1"/>
        <v>8329000</v>
      </c>
      <c r="Q19" s="194"/>
    </row>
    <row r="20" spans="1:18" s="193" customFormat="1" ht="36" x14ac:dyDescent="0.3">
      <c r="A20" s="485"/>
      <c r="B20" s="25" t="s">
        <v>67</v>
      </c>
      <c r="C20" s="455" t="s">
        <v>68</v>
      </c>
      <c r="D20" s="24">
        <v>42644</v>
      </c>
      <c r="E20" s="17" t="s">
        <v>69</v>
      </c>
      <c r="F20" s="486"/>
      <c r="G20" s="493"/>
      <c r="H20" s="315">
        <v>2000000</v>
      </c>
      <c r="I20" s="496"/>
      <c r="J20" s="315">
        <v>0</v>
      </c>
      <c r="K20" s="362">
        <f t="shared" si="2"/>
        <v>2000000</v>
      </c>
      <c r="L20" s="307">
        <v>1274500</v>
      </c>
      <c r="M20" s="309">
        <f t="shared" si="0"/>
        <v>725500</v>
      </c>
      <c r="N20" s="309">
        <v>0</v>
      </c>
      <c r="O20" s="291">
        <v>0</v>
      </c>
      <c r="P20" s="309">
        <f t="shared" si="1"/>
        <v>725500</v>
      </c>
      <c r="Q20" s="15"/>
    </row>
    <row r="21" spans="1:18" s="193" customFormat="1" ht="90" x14ac:dyDescent="0.3">
      <c r="A21" s="485"/>
      <c r="B21" s="25" t="s">
        <v>70</v>
      </c>
      <c r="C21" s="455" t="s">
        <v>71</v>
      </c>
      <c r="D21" s="24">
        <v>42644</v>
      </c>
      <c r="E21" s="17" t="s">
        <v>72</v>
      </c>
      <c r="F21" s="486"/>
      <c r="G21" s="493"/>
      <c r="H21" s="315">
        <v>2600000</v>
      </c>
      <c r="I21" s="496"/>
      <c r="J21" s="315">
        <v>2400000</v>
      </c>
      <c r="K21" s="362">
        <f t="shared" si="2"/>
        <v>5000000</v>
      </c>
      <c r="L21" s="307">
        <v>0</v>
      </c>
      <c r="M21" s="309">
        <f t="shared" si="0"/>
        <v>5000000</v>
      </c>
      <c r="N21" s="309">
        <f>1000000+500000</f>
        <v>1500000</v>
      </c>
      <c r="O21" s="291">
        <v>0</v>
      </c>
      <c r="P21" s="309">
        <f t="shared" si="1"/>
        <v>6500000</v>
      </c>
      <c r="Q21" s="15"/>
    </row>
    <row r="22" spans="1:18" s="193" customFormat="1" ht="36" x14ac:dyDescent="0.3">
      <c r="A22" s="485"/>
      <c r="B22" s="25" t="s">
        <v>73</v>
      </c>
      <c r="C22" s="455" t="s">
        <v>74</v>
      </c>
      <c r="D22" s="24">
        <v>42522</v>
      </c>
      <c r="E22" s="17" t="s">
        <v>75</v>
      </c>
      <c r="F22" s="486"/>
      <c r="G22" s="493"/>
      <c r="H22" s="315">
        <v>8156112</v>
      </c>
      <c r="I22" s="496"/>
      <c r="J22" s="315">
        <v>5000000</v>
      </c>
      <c r="K22" s="362">
        <f t="shared" si="2"/>
        <v>13156112</v>
      </c>
      <c r="L22" s="307">
        <v>11468520</v>
      </c>
      <c r="M22" s="309">
        <v>1687592</v>
      </c>
      <c r="N22" s="309">
        <v>-1687592</v>
      </c>
      <c r="O22" s="317">
        <v>0</v>
      </c>
      <c r="P22" s="309">
        <f t="shared" si="1"/>
        <v>0</v>
      </c>
      <c r="Q22" s="15"/>
    </row>
    <row r="23" spans="1:18" s="193" customFormat="1" ht="36" x14ac:dyDescent="0.3">
      <c r="A23" s="485"/>
      <c r="B23" s="25" t="s">
        <v>76</v>
      </c>
      <c r="C23" s="455" t="s">
        <v>77</v>
      </c>
      <c r="D23" s="24">
        <v>42522</v>
      </c>
      <c r="E23" s="17" t="s">
        <v>78</v>
      </c>
      <c r="F23" s="480"/>
      <c r="G23" s="493"/>
      <c r="H23" s="315">
        <v>21404977</v>
      </c>
      <c r="I23" s="496"/>
      <c r="J23" s="315">
        <v>0</v>
      </c>
      <c r="K23" s="362">
        <f t="shared" si="2"/>
        <v>21404977</v>
      </c>
      <c r="L23" s="307">
        <v>0</v>
      </c>
      <c r="M23" s="309">
        <f>K23-L23</f>
        <v>21404977</v>
      </c>
      <c r="N23" s="309">
        <f>-(1500000+560000+1000000+1000000+1000000)</f>
        <v>-5060000</v>
      </c>
      <c r="O23" s="291">
        <v>0</v>
      </c>
      <c r="P23" s="309">
        <f t="shared" si="1"/>
        <v>16344977</v>
      </c>
      <c r="Q23" s="15"/>
    </row>
    <row r="24" spans="1:18" s="193" customFormat="1" ht="90" x14ac:dyDescent="0.3">
      <c r="A24" s="485"/>
      <c r="B24" s="25" t="s">
        <v>79</v>
      </c>
      <c r="C24" s="455" t="s">
        <v>80</v>
      </c>
      <c r="D24" s="24">
        <v>42583</v>
      </c>
      <c r="E24" s="17" t="s">
        <v>81</v>
      </c>
      <c r="F24" s="101" t="s">
        <v>82</v>
      </c>
      <c r="G24" s="493"/>
      <c r="H24" s="315">
        <v>1389600</v>
      </c>
      <c r="I24" s="496"/>
      <c r="J24" s="315">
        <v>810400</v>
      </c>
      <c r="K24" s="362">
        <f>H24+J24</f>
        <v>2200000</v>
      </c>
      <c r="L24" s="307">
        <v>0</v>
      </c>
      <c r="M24" s="309">
        <f t="shared" si="0"/>
        <v>2200000</v>
      </c>
      <c r="N24" s="309">
        <v>0</v>
      </c>
      <c r="O24" s="291">
        <v>0</v>
      </c>
      <c r="P24" s="309">
        <f t="shared" si="1"/>
        <v>2200000</v>
      </c>
      <c r="Q24" s="15"/>
    </row>
    <row r="25" spans="1:18" s="193" customFormat="1" ht="36" x14ac:dyDescent="0.45">
      <c r="A25" s="485"/>
      <c r="B25" s="25" t="s">
        <v>83</v>
      </c>
      <c r="C25" s="455" t="s">
        <v>84</v>
      </c>
      <c r="D25" s="24">
        <v>42644</v>
      </c>
      <c r="E25" s="17" t="s">
        <v>85</v>
      </c>
      <c r="F25" s="101" t="s">
        <v>86</v>
      </c>
      <c r="G25" s="493"/>
      <c r="H25" s="315">
        <v>0</v>
      </c>
      <c r="I25" s="496"/>
      <c r="J25" s="315">
        <v>2200000</v>
      </c>
      <c r="K25" s="362">
        <f t="shared" si="2"/>
        <v>2200000</v>
      </c>
      <c r="L25" s="307">
        <v>1038670</v>
      </c>
      <c r="M25" s="309">
        <f t="shared" si="0"/>
        <v>1161330</v>
      </c>
      <c r="N25" s="309">
        <v>1000000</v>
      </c>
      <c r="O25" s="291">
        <v>0</v>
      </c>
      <c r="P25" s="309">
        <f t="shared" si="1"/>
        <v>2161330</v>
      </c>
      <c r="Q25" s="195"/>
    </row>
    <row r="26" spans="1:18" s="193" customFormat="1" ht="36" x14ac:dyDescent="0.3">
      <c r="A26" s="485"/>
      <c r="B26" s="25" t="s">
        <v>87</v>
      </c>
      <c r="C26" s="455" t="s">
        <v>88</v>
      </c>
      <c r="D26" s="24">
        <v>42614</v>
      </c>
      <c r="E26" s="17" t="s">
        <v>89</v>
      </c>
      <c r="F26" s="498" t="s">
        <v>90</v>
      </c>
      <c r="G26" s="493"/>
      <c r="H26" s="315">
        <v>200000</v>
      </c>
      <c r="I26" s="496"/>
      <c r="J26" s="315">
        <v>0</v>
      </c>
      <c r="K26" s="362">
        <v>200000</v>
      </c>
      <c r="L26" s="307">
        <v>0</v>
      </c>
      <c r="M26" s="309">
        <f>K26-L26</f>
        <v>200000</v>
      </c>
      <c r="N26" s="309">
        <v>-200000</v>
      </c>
      <c r="O26" s="291">
        <v>0</v>
      </c>
      <c r="P26" s="309">
        <f t="shared" si="1"/>
        <v>0</v>
      </c>
      <c r="Q26" s="15"/>
    </row>
    <row r="27" spans="1:18" s="193" customFormat="1" ht="54" x14ac:dyDescent="0.3">
      <c r="A27" s="485"/>
      <c r="B27" s="25" t="s">
        <v>91</v>
      </c>
      <c r="C27" s="455" t="s">
        <v>92</v>
      </c>
      <c r="D27" s="16">
        <v>42552</v>
      </c>
      <c r="E27" s="17" t="s">
        <v>93</v>
      </c>
      <c r="F27" s="498"/>
      <c r="G27" s="493"/>
      <c r="H27" s="315">
        <v>4640220</v>
      </c>
      <c r="I27" s="496"/>
      <c r="J27" s="315">
        <v>2659780</v>
      </c>
      <c r="K27" s="362">
        <v>4600000</v>
      </c>
      <c r="L27" s="307">
        <v>1165000</v>
      </c>
      <c r="M27" s="309">
        <f>K27-L27</f>
        <v>3435000</v>
      </c>
      <c r="N27" s="309">
        <v>-1900000</v>
      </c>
      <c r="O27" s="291">
        <v>0</v>
      </c>
      <c r="P27" s="309">
        <f t="shared" si="1"/>
        <v>1535000</v>
      </c>
      <c r="Q27" s="15"/>
      <c r="R27" s="196"/>
    </row>
    <row r="28" spans="1:18" s="193" customFormat="1" ht="108" x14ac:dyDescent="0.3">
      <c r="A28" s="485"/>
      <c r="B28" s="25" t="s">
        <v>94</v>
      </c>
      <c r="C28" s="455" t="s">
        <v>95</v>
      </c>
      <c r="D28" s="24">
        <v>42644</v>
      </c>
      <c r="E28" s="17" t="s">
        <v>96</v>
      </c>
      <c r="F28" s="101" t="s">
        <v>86</v>
      </c>
      <c r="G28" s="493"/>
      <c r="H28" s="315">
        <f>2476000+3600000+3000000</f>
        <v>9076000</v>
      </c>
      <c r="I28" s="496"/>
      <c r="J28" s="315"/>
      <c r="K28" s="362">
        <v>2200000</v>
      </c>
      <c r="L28" s="307">
        <v>252200</v>
      </c>
      <c r="M28" s="309">
        <f t="shared" si="0"/>
        <v>1947800</v>
      </c>
      <c r="N28" s="309">
        <v>-500000</v>
      </c>
      <c r="O28" s="291">
        <v>0</v>
      </c>
      <c r="P28" s="309">
        <f t="shared" si="1"/>
        <v>1447800</v>
      </c>
      <c r="Q28" s="15"/>
    </row>
    <row r="29" spans="1:18" s="193" customFormat="1" ht="36" x14ac:dyDescent="0.3">
      <c r="A29" s="485"/>
      <c r="B29" s="25" t="s">
        <v>97</v>
      </c>
      <c r="C29" s="455" t="s">
        <v>98</v>
      </c>
      <c r="D29" s="16">
        <v>42522</v>
      </c>
      <c r="E29" s="17" t="s">
        <v>99</v>
      </c>
      <c r="F29" s="101" t="s">
        <v>57</v>
      </c>
      <c r="G29" s="493"/>
      <c r="H29" s="315">
        <v>1500000</v>
      </c>
      <c r="I29" s="496"/>
      <c r="J29" s="315">
        <f>K29</f>
        <v>1500000</v>
      </c>
      <c r="K29" s="362">
        <v>1500000</v>
      </c>
      <c r="L29" s="307">
        <v>1500000</v>
      </c>
      <c r="M29" s="309">
        <f t="shared" si="0"/>
        <v>0</v>
      </c>
      <c r="N29" s="291">
        <v>0</v>
      </c>
      <c r="O29" s="291">
        <v>0</v>
      </c>
      <c r="P29" s="309">
        <f t="shared" si="1"/>
        <v>0</v>
      </c>
      <c r="Q29" s="15"/>
    </row>
    <row r="30" spans="1:18" s="193" customFormat="1" ht="54" x14ac:dyDescent="0.3">
      <c r="A30" s="485"/>
      <c r="B30" s="25" t="s">
        <v>100</v>
      </c>
      <c r="C30" s="455" t="s">
        <v>101</v>
      </c>
      <c r="D30" s="16">
        <v>42644</v>
      </c>
      <c r="E30" s="17" t="s">
        <v>102</v>
      </c>
      <c r="F30" s="101" t="s">
        <v>57</v>
      </c>
      <c r="G30" s="493"/>
      <c r="H30" s="315">
        <v>0</v>
      </c>
      <c r="I30" s="496"/>
      <c r="J30" s="315">
        <f>K30</f>
        <v>3000000</v>
      </c>
      <c r="K30" s="362">
        <v>3000000</v>
      </c>
      <c r="L30" s="307">
        <v>260000</v>
      </c>
      <c r="M30" s="309">
        <f t="shared" si="0"/>
        <v>2740000</v>
      </c>
      <c r="N30" s="309">
        <f>-(80000+800000+360000)</f>
        <v>-1240000</v>
      </c>
      <c r="O30" s="291">
        <v>0</v>
      </c>
      <c r="P30" s="309">
        <f t="shared" si="1"/>
        <v>1500000</v>
      </c>
      <c r="Q30" s="197"/>
    </row>
    <row r="31" spans="1:18" s="193" customFormat="1" ht="126" x14ac:dyDescent="0.3">
      <c r="A31" s="485"/>
      <c r="B31" s="25" t="s">
        <v>103</v>
      </c>
      <c r="C31" s="455" t="s">
        <v>104</v>
      </c>
      <c r="D31" s="16">
        <v>42675</v>
      </c>
      <c r="E31" s="17" t="s">
        <v>105</v>
      </c>
      <c r="F31" s="101" t="s">
        <v>106</v>
      </c>
      <c r="G31" s="493"/>
      <c r="H31" s="315">
        <v>0</v>
      </c>
      <c r="I31" s="496"/>
      <c r="J31" s="315">
        <v>-1000000</v>
      </c>
      <c r="K31" s="362">
        <v>4000000</v>
      </c>
      <c r="L31" s="307">
        <v>0</v>
      </c>
      <c r="M31" s="309">
        <f t="shared" si="0"/>
        <v>4000000</v>
      </c>
      <c r="N31" s="291">
        <v>0</v>
      </c>
      <c r="O31" s="291">
        <v>0</v>
      </c>
      <c r="P31" s="309">
        <f t="shared" si="1"/>
        <v>4000000</v>
      </c>
      <c r="Q31" s="15"/>
    </row>
    <row r="32" spans="1:18" s="193" customFormat="1" ht="72" x14ac:dyDescent="0.3">
      <c r="A32" s="485"/>
      <c r="B32" s="25" t="s">
        <v>107</v>
      </c>
      <c r="C32" s="455" t="s">
        <v>108</v>
      </c>
      <c r="D32" s="16">
        <v>42705</v>
      </c>
      <c r="E32" s="17" t="s">
        <v>109</v>
      </c>
      <c r="F32" s="101" t="s">
        <v>110</v>
      </c>
      <c r="G32" s="493"/>
      <c r="H32" s="315">
        <v>0</v>
      </c>
      <c r="I32" s="496"/>
      <c r="J32" s="315"/>
      <c r="K32" s="362">
        <v>5000000</v>
      </c>
      <c r="L32" s="307">
        <v>0</v>
      </c>
      <c r="M32" s="309">
        <v>5000000</v>
      </c>
      <c r="N32" s="309">
        <f>-1000000-2000000</f>
        <v>-3000000</v>
      </c>
      <c r="O32" s="291">
        <v>0</v>
      </c>
      <c r="P32" s="309">
        <f t="shared" si="1"/>
        <v>2000000</v>
      </c>
      <c r="Q32" s="15"/>
    </row>
    <row r="33" spans="1:256" s="193" customFormat="1" ht="108" x14ac:dyDescent="0.3">
      <c r="A33" s="485"/>
      <c r="B33" s="25" t="s">
        <v>111</v>
      </c>
      <c r="C33" s="455" t="s">
        <v>112</v>
      </c>
      <c r="D33" s="16">
        <v>42675</v>
      </c>
      <c r="E33" s="17" t="s">
        <v>113</v>
      </c>
      <c r="F33" s="101" t="s">
        <v>114</v>
      </c>
      <c r="G33" s="493"/>
      <c r="H33" s="315">
        <v>0</v>
      </c>
      <c r="I33" s="496"/>
      <c r="J33" s="315">
        <f>K33</f>
        <v>5020000</v>
      </c>
      <c r="K33" s="362">
        <v>5020000</v>
      </c>
      <c r="L33" s="307">
        <v>3680007</v>
      </c>
      <c r="M33" s="309">
        <f t="shared" si="0"/>
        <v>1339993</v>
      </c>
      <c r="N33" s="309">
        <v>-1339993</v>
      </c>
      <c r="O33" s="291">
        <v>0</v>
      </c>
      <c r="P33" s="309">
        <f t="shared" si="1"/>
        <v>0</v>
      </c>
      <c r="Q33" s="15"/>
    </row>
    <row r="34" spans="1:256" s="193" customFormat="1" ht="108" x14ac:dyDescent="0.3">
      <c r="A34" s="485"/>
      <c r="B34" s="25" t="s">
        <v>115</v>
      </c>
      <c r="C34" s="455" t="s">
        <v>116</v>
      </c>
      <c r="D34" s="16">
        <v>42675</v>
      </c>
      <c r="E34" s="17" t="s">
        <v>117</v>
      </c>
      <c r="F34" s="101" t="s">
        <v>118</v>
      </c>
      <c r="G34" s="493"/>
      <c r="H34" s="315">
        <v>0</v>
      </c>
      <c r="I34" s="496"/>
      <c r="J34" s="315">
        <v>0</v>
      </c>
      <c r="K34" s="362">
        <v>2000000</v>
      </c>
      <c r="L34" s="307">
        <v>842700</v>
      </c>
      <c r="M34" s="309">
        <f>K34-L34</f>
        <v>1157300</v>
      </c>
      <c r="N34" s="309">
        <f>800000</f>
        <v>800000</v>
      </c>
      <c r="O34" s="291">
        <v>0</v>
      </c>
      <c r="P34" s="309">
        <f t="shared" si="1"/>
        <v>1957300</v>
      </c>
      <c r="Q34" s="15"/>
    </row>
    <row r="35" spans="1:256" s="193" customFormat="1" ht="162" x14ac:dyDescent="0.3">
      <c r="A35" s="485"/>
      <c r="B35" s="25" t="s">
        <v>119</v>
      </c>
      <c r="C35" s="455" t="s">
        <v>120</v>
      </c>
      <c r="D35" s="16">
        <v>42552</v>
      </c>
      <c r="E35" s="17" t="s">
        <v>121</v>
      </c>
      <c r="F35" s="499" t="s">
        <v>122</v>
      </c>
      <c r="G35" s="493"/>
      <c r="H35" s="315">
        <v>322800</v>
      </c>
      <c r="I35" s="496"/>
      <c r="J35" s="315">
        <v>0</v>
      </c>
      <c r="K35" s="362">
        <v>2000000</v>
      </c>
      <c r="L35" s="307">
        <v>1643400</v>
      </c>
      <c r="M35" s="309">
        <f t="shared" si="0"/>
        <v>356600</v>
      </c>
      <c r="N35" s="309">
        <f>900000+80000</f>
        <v>980000</v>
      </c>
      <c r="O35" s="291">
        <v>0</v>
      </c>
      <c r="P35" s="309">
        <f t="shared" si="1"/>
        <v>1336600</v>
      </c>
      <c r="Q35" s="15"/>
    </row>
    <row r="36" spans="1:256" s="193" customFormat="1" ht="54" x14ac:dyDescent="0.3">
      <c r="A36" s="485"/>
      <c r="B36" s="25" t="s">
        <v>123</v>
      </c>
      <c r="C36" s="455" t="s">
        <v>124</v>
      </c>
      <c r="D36" s="16">
        <v>42675</v>
      </c>
      <c r="E36" s="17" t="s">
        <v>125</v>
      </c>
      <c r="F36" s="499"/>
      <c r="G36" s="493"/>
      <c r="H36" s="315">
        <v>326974</v>
      </c>
      <c r="I36" s="496"/>
      <c r="J36" s="318">
        <f>+K36</f>
        <v>4926974</v>
      </c>
      <c r="K36" s="362">
        <v>4926974</v>
      </c>
      <c r="L36" s="307">
        <v>3993866</v>
      </c>
      <c r="M36" s="309">
        <f t="shared" si="0"/>
        <v>933108</v>
      </c>
      <c r="N36" s="291">
        <v>0</v>
      </c>
      <c r="O36" s="291">
        <v>0</v>
      </c>
      <c r="P36" s="309">
        <f t="shared" si="1"/>
        <v>933108</v>
      </c>
      <c r="Q36" s="15"/>
    </row>
    <row r="37" spans="1:256" s="193" customFormat="1" ht="46.8" x14ac:dyDescent="0.3">
      <c r="A37" s="485"/>
      <c r="B37" s="25" t="s">
        <v>126</v>
      </c>
      <c r="C37" s="455" t="s">
        <v>127</v>
      </c>
      <c r="D37" s="16">
        <v>42614</v>
      </c>
      <c r="E37" s="17" t="s">
        <v>128</v>
      </c>
      <c r="F37" s="101" t="s">
        <v>129</v>
      </c>
      <c r="G37" s="493"/>
      <c r="H37" s="315">
        <v>1200000</v>
      </c>
      <c r="I37" s="496"/>
      <c r="J37" s="315">
        <f>K37</f>
        <v>2000000</v>
      </c>
      <c r="K37" s="362">
        <v>2000000</v>
      </c>
      <c r="L37" s="307">
        <v>450000</v>
      </c>
      <c r="M37" s="309">
        <f t="shared" si="0"/>
        <v>1550000</v>
      </c>
      <c r="N37" s="309">
        <f>360000+20000+560000</f>
        <v>940000</v>
      </c>
      <c r="O37" s="291">
        <v>0</v>
      </c>
      <c r="P37" s="309">
        <f t="shared" si="1"/>
        <v>2490000</v>
      </c>
      <c r="Q37" s="15"/>
    </row>
    <row r="38" spans="1:256" s="193" customFormat="1" ht="90" x14ac:dyDescent="0.3">
      <c r="A38" s="485"/>
      <c r="B38" s="25" t="s">
        <v>130</v>
      </c>
      <c r="C38" s="455" t="s">
        <v>131</v>
      </c>
      <c r="D38" s="16">
        <v>42430</v>
      </c>
      <c r="E38" s="17" t="s">
        <v>132</v>
      </c>
      <c r="F38" s="101" t="s">
        <v>133</v>
      </c>
      <c r="G38" s="493"/>
      <c r="H38" s="315">
        <v>975800</v>
      </c>
      <c r="I38" s="496"/>
      <c r="J38" s="315">
        <f>K38</f>
        <v>2000000</v>
      </c>
      <c r="K38" s="362">
        <v>2000000</v>
      </c>
      <c r="L38" s="307">
        <v>1720400</v>
      </c>
      <c r="M38" s="309">
        <f>K38-L38</f>
        <v>279600</v>
      </c>
      <c r="N38" s="319">
        <v>0</v>
      </c>
      <c r="O38" s="291">
        <v>0</v>
      </c>
      <c r="P38" s="309">
        <f t="shared" si="1"/>
        <v>279600</v>
      </c>
      <c r="Q38" s="15"/>
    </row>
    <row r="39" spans="1:256" s="193" customFormat="1" ht="90" x14ac:dyDescent="0.3">
      <c r="A39" s="485"/>
      <c r="B39" s="25" t="s">
        <v>134</v>
      </c>
      <c r="C39" s="455" t="s">
        <v>135</v>
      </c>
      <c r="D39" s="16">
        <v>42461</v>
      </c>
      <c r="E39" s="17" t="s">
        <v>136</v>
      </c>
      <c r="F39" s="500" t="s">
        <v>90</v>
      </c>
      <c r="G39" s="493"/>
      <c r="H39" s="315">
        <v>0</v>
      </c>
      <c r="I39" s="496"/>
      <c r="J39" s="315">
        <f>K39</f>
        <v>150000</v>
      </c>
      <c r="K39" s="362">
        <v>150000</v>
      </c>
      <c r="L39" s="307">
        <v>58900</v>
      </c>
      <c r="M39" s="309">
        <f t="shared" si="0"/>
        <v>91100</v>
      </c>
      <c r="N39" s="319">
        <v>30000</v>
      </c>
      <c r="O39" s="291">
        <v>0</v>
      </c>
      <c r="P39" s="309">
        <f t="shared" si="1"/>
        <v>121100</v>
      </c>
      <c r="Q39" s="15"/>
    </row>
    <row r="40" spans="1:256" s="193" customFormat="1" ht="72" x14ac:dyDescent="0.3">
      <c r="A40" s="485"/>
      <c r="B40" s="25" t="s">
        <v>137</v>
      </c>
      <c r="C40" s="455" t="s">
        <v>138</v>
      </c>
      <c r="D40" s="16">
        <v>42430</v>
      </c>
      <c r="E40" s="17" t="s">
        <v>136</v>
      </c>
      <c r="F40" s="501"/>
      <c r="G40" s="493"/>
      <c r="H40" s="315">
        <v>250000</v>
      </c>
      <c r="I40" s="496"/>
      <c r="J40" s="315">
        <f>K40</f>
        <v>500000</v>
      </c>
      <c r="K40" s="362">
        <v>500000</v>
      </c>
      <c r="L40" s="307">
        <v>290000</v>
      </c>
      <c r="M40" s="309">
        <f t="shared" si="0"/>
        <v>210000</v>
      </c>
      <c r="N40" s="319">
        <f>150000+339993</f>
        <v>489993</v>
      </c>
      <c r="O40" s="291">
        <v>0</v>
      </c>
      <c r="P40" s="309">
        <f t="shared" si="1"/>
        <v>699993</v>
      </c>
      <c r="Q40" s="15"/>
    </row>
    <row r="41" spans="1:256" s="193" customFormat="1" ht="72" x14ac:dyDescent="0.3">
      <c r="A41" s="485"/>
      <c r="B41" s="25" t="s">
        <v>139</v>
      </c>
      <c r="C41" s="455" t="s">
        <v>140</v>
      </c>
      <c r="D41" s="16">
        <v>42552</v>
      </c>
      <c r="E41" s="17" t="s">
        <v>141</v>
      </c>
      <c r="F41" s="101" t="s">
        <v>133</v>
      </c>
      <c r="G41" s="493"/>
      <c r="H41" s="316">
        <v>0</v>
      </c>
      <c r="I41" s="496"/>
      <c r="J41" s="316">
        <f>K41</f>
        <v>6500000</v>
      </c>
      <c r="K41" s="362">
        <v>6500000</v>
      </c>
      <c r="L41" s="307">
        <v>6205200</v>
      </c>
      <c r="M41" s="309">
        <f t="shared" si="0"/>
        <v>294800</v>
      </c>
      <c r="N41" s="291">
        <v>0</v>
      </c>
      <c r="O41" s="291">
        <v>0</v>
      </c>
      <c r="P41" s="309">
        <f t="shared" si="1"/>
        <v>294800</v>
      </c>
      <c r="Q41" s="15"/>
    </row>
    <row r="42" spans="1:256" s="193" customFormat="1" ht="36" x14ac:dyDescent="0.3">
      <c r="A42" s="485"/>
      <c r="B42" s="25" t="s">
        <v>142</v>
      </c>
      <c r="C42" s="455" t="s">
        <v>143</v>
      </c>
      <c r="D42" s="16"/>
      <c r="E42" s="17"/>
      <c r="F42" s="101"/>
      <c r="G42" s="493"/>
      <c r="H42" s="316">
        <v>8600000</v>
      </c>
      <c r="I42" s="496"/>
      <c r="J42" s="316">
        <v>-8600000</v>
      </c>
      <c r="K42" s="362">
        <f>H42+J42</f>
        <v>0</v>
      </c>
      <c r="L42" s="307">
        <v>0</v>
      </c>
      <c r="M42" s="309">
        <f t="shared" si="0"/>
        <v>0</v>
      </c>
      <c r="N42" s="291"/>
      <c r="O42" s="291">
        <v>0</v>
      </c>
      <c r="P42" s="309">
        <f t="shared" si="1"/>
        <v>0</v>
      </c>
      <c r="Q42" s="15"/>
    </row>
    <row r="43" spans="1:256" s="193" customFormat="1" ht="36" x14ac:dyDescent="0.3">
      <c r="A43" s="477"/>
      <c r="B43" s="25" t="s">
        <v>144</v>
      </c>
      <c r="C43" s="455" t="s">
        <v>145</v>
      </c>
      <c r="D43" s="16"/>
      <c r="E43" s="17"/>
      <c r="F43" s="101"/>
      <c r="G43" s="494"/>
      <c r="H43" s="315"/>
      <c r="I43" s="497"/>
      <c r="J43" s="315"/>
      <c r="K43" s="362">
        <v>0</v>
      </c>
      <c r="L43" s="307">
        <v>0</v>
      </c>
      <c r="M43" s="309">
        <f t="shared" si="0"/>
        <v>0</v>
      </c>
      <c r="N43" s="309">
        <v>0</v>
      </c>
      <c r="O43" s="291">
        <v>0</v>
      </c>
      <c r="P43" s="309">
        <f t="shared" si="1"/>
        <v>0</v>
      </c>
      <c r="Q43" s="15"/>
    </row>
    <row r="44" spans="1:256" s="193" customFormat="1" ht="36" x14ac:dyDescent="0.3">
      <c r="A44" s="94"/>
      <c r="B44" s="25" t="s">
        <v>146</v>
      </c>
      <c r="C44" s="455" t="s">
        <v>147</v>
      </c>
      <c r="D44" s="16"/>
      <c r="E44" s="17"/>
      <c r="F44" s="73"/>
      <c r="G44" s="103"/>
      <c r="H44" s="315"/>
      <c r="I44" s="289"/>
      <c r="J44" s="315"/>
      <c r="K44" s="362"/>
      <c r="L44" s="307">
        <v>0</v>
      </c>
      <c r="M44" s="309">
        <v>0</v>
      </c>
      <c r="N44" s="320">
        <f>1500000+1000000+1000000</f>
        <v>3500000</v>
      </c>
      <c r="O44" s="291">
        <v>1500000</v>
      </c>
      <c r="P44" s="309">
        <f t="shared" si="1"/>
        <v>5000000</v>
      </c>
    </row>
    <row r="45" spans="1:256" s="15" customFormat="1" ht="108" x14ac:dyDescent="0.3">
      <c r="A45" s="476" t="s">
        <v>148</v>
      </c>
      <c r="B45" s="16" t="s">
        <v>149</v>
      </c>
      <c r="C45" s="455" t="s">
        <v>150</v>
      </c>
      <c r="D45" s="16">
        <v>42430</v>
      </c>
      <c r="E45" s="17" t="s">
        <v>151</v>
      </c>
      <c r="F45" s="479" t="s">
        <v>152</v>
      </c>
      <c r="G45" s="487" t="s">
        <v>153</v>
      </c>
      <c r="H45" s="315">
        <v>13000000</v>
      </c>
      <c r="I45" s="490">
        <v>10000000</v>
      </c>
      <c r="J45" s="315">
        <v>0</v>
      </c>
      <c r="K45" s="362">
        <f>H45</f>
        <v>13000000</v>
      </c>
      <c r="L45" s="307">
        <f>242000+1626000+696000+1500000+3230000+380000-421400-323000-38000+100</f>
        <v>6891700</v>
      </c>
      <c r="M45" s="309">
        <f t="shared" si="0"/>
        <v>6108300</v>
      </c>
      <c r="N45" s="291">
        <v>0</v>
      </c>
      <c r="O45" s="291">
        <v>0</v>
      </c>
      <c r="P45" s="309">
        <f t="shared" si="1"/>
        <v>6108300</v>
      </c>
      <c r="R45" s="193"/>
      <c r="S45" s="193"/>
      <c r="T45" s="193"/>
      <c r="U45" s="193"/>
      <c r="V45" s="193"/>
      <c r="W45" s="193"/>
      <c r="X45" s="193"/>
      <c r="Y45" s="193"/>
      <c r="Z45" s="193"/>
      <c r="AA45" s="193"/>
      <c r="AB45" s="193"/>
      <c r="AC45" s="193"/>
      <c r="AD45" s="193"/>
      <c r="AE45" s="193"/>
      <c r="AF45" s="193"/>
      <c r="AG45" s="193"/>
      <c r="AH45" s="193"/>
      <c r="AI45" s="193"/>
      <c r="AJ45" s="193"/>
      <c r="AK45" s="193"/>
      <c r="AL45" s="193"/>
      <c r="AM45" s="193"/>
      <c r="AN45" s="193"/>
      <c r="AO45" s="193"/>
      <c r="AP45" s="193"/>
      <c r="AQ45" s="193"/>
      <c r="AR45" s="193"/>
      <c r="AS45" s="193"/>
      <c r="AT45" s="193"/>
      <c r="AU45" s="193"/>
      <c r="AV45" s="193"/>
      <c r="AW45" s="193"/>
      <c r="AX45" s="193"/>
      <c r="AY45" s="193"/>
      <c r="AZ45" s="193"/>
      <c r="BA45" s="193"/>
      <c r="BB45" s="193"/>
      <c r="BC45" s="193"/>
      <c r="BD45" s="193"/>
      <c r="BE45" s="193"/>
      <c r="BF45" s="193"/>
      <c r="BG45" s="193"/>
      <c r="BH45" s="193"/>
      <c r="BI45" s="193"/>
      <c r="BJ45" s="193"/>
      <c r="BK45" s="193"/>
      <c r="BL45" s="193"/>
      <c r="BM45" s="193"/>
      <c r="BN45" s="193"/>
      <c r="BO45" s="193"/>
      <c r="BP45" s="193"/>
      <c r="BQ45" s="193"/>
      <c r="BR45" s="193"/>
      <c r="BS45" s="193"/>
      <c r="BT45" s="193"/>
      <c r="BU45" s="193"/>
      <c r="BV45" s="193"/>
      <c r="BW45" s="193"/>
      <c r="BX45" s="193"/>
      <c r="BY45" s="193"/>
      <c r="BZ45" s="193"/>
      <c r="CA45" s="193"/>
      <c r="CB45" s="193"/>
      <c r="CC45" s="193"/>
      <c r="CD45" s="193"/>
      <c r="CE45" s="193"/>
      <c r="CF45" s="193"/>
      <c r="CG45" s="193"/>
      <c r="CH45" s="193"/>
      <c r="CI45" s="193"/>
      <c r="CJ45" s="193"/>
      <c r="CK45" s="193"/>
      <c r="CL45" s="193"/>
      <c r="CM45" s="193"/>
      <c r="CN45" s="193"/>
      <c r="CO45" s="193"/>
      <c r="CP45" s="193"/>
      <c r="CQ45" s="193"/>
      <c r="CR45" s="193"/>
      <c r="CS45" s="193"/>
      <c r="CT45" s="193"/>
      <c r="CU45" s="193"/>
      <c r="CV45" s="193"/>
      <c r="CW45" s="193"/>
      <c r="CX45" s="193"/>
      <c r="CY45" s="193"/>
      <c r="CZ45" s="193"/>
      <c r="DA45" s="193"/>
      <c r="DB45" s="193"/>
      <c r="DC45" s="193"/>
      <c r="DD45" s="193"/>
      <c r="DE45" s="193"/>
      <c r="DF45" s="193"/>
      <c r="DG45" s="193"/>
      <c r="DH45" s="193"/>
      <c r="DI45" s="193"/>
      <c r="DJ45" s="193"/>
      <c r="DK45" s="193"/>
      <c r="DL45" s="193"/>
      <c r="DM45" s="193"/>
      <c r="DN45" s="193"/>
      <c r="DO45" s="193"/>
      <c r="DP45" s="193"/>
      <c r="DQ45" s="193"/>
      <c r="DR45" s="193"/>
      <c r="DS45" s="193"/>
      <c r="DT45" s="193"/>
      <c r="DU45" s="193"/>
      <c r="DV45" s="193"/>
      <c r="DW45" s="193"/>
      <c r="DX45" s="193"/>
      <c r="DY45" s="193"/>
      <c r="DZ45" s="193"/>
      <c r="EA45" s="193"/>
      <c r="EB45" s="193"/>
      <c r="EC45" s="193"/>
      <c r="ED45" s="193"/>
      <c r="EE45" s="193"/>
      <c r="EF45" s="193"/>
      <c r="EG45" s="193"/>
      <c r="EH45" s="193"/>
      <c r="EI45" s="193"/>
      <c r="EJ45" s="193"/>
      <c r="EK45" s="193"/>
      <c r="EL45" s="193"/>
      <c r="EM45" s="193"/>
      <c r="EN45" s="193"/>
      <c r="EO45" s="193"/>
      <c r="EP45" s="193"/>
      <c r="EQ45" s="193"/>
      <c r="ER45" s="193"/>
      <c r="ES45" s="193"/>
      <c r="ET45" s="193"/>
      <c r="EU45" s="193"/>
      <c r="EV45" s="193"/>
      <c r="EW45" s="193"/>
      <c r="EX45" s="193"/>
      <c r="EY45" s="193"/>
      <c r="EZ45" s="193"/>
      <c r="FA45" s="193"/>
      <c r="FB45" s="193"/>
      <c r="FC45" s="193"/>
      <c r="FD45" s="193"/>
      <c r="FE45" s="193"/>
      <c r="FF45" s="193"/>
      <c r="FG45" s="193"/>
      <c r="FH45" s="193"/>
      <c r="FI45" s="193"/>
      <c r="FJ45" s="193"/>
      <c r="FK45" s="193"/>
      <c r="FL45" s="193"/>
      <c r="FM45" s="193"/>
      <c r="FN45" s="193"/>
      <c r="FO45" s="193"/>
      <c r="FP45" s="193"/>
      <c r="FQ45" s="193"/>
      <c r="FR45" s="193"/>
      <c r="FS45" s="193"/>
      <c r="FT45" s="193"/>
      <c r="FU45" s="193"/>
      <c r="FV45" s="193"/>
      <c r="FW45" s="193"/>
      <c r="FX45" s="193"/>
      <c r="FY45" s="193"/>
      <c r="FZ45" s="193"/>
      <c r="GA45" s="193"/>
      <c r="GB45" s="193"/>
      <c r="GC45" s="193"/>
      <c r="GD45" s="193"/>
      <c r="GE45" s="193"/>
      <c r="GF45" s="193"/>
      <c r="GG45" s="193"/>
      <c r="GH45" s="193"/>
      <c r="GI45" s="193"/>
      <c r="GJ45" s="193"/>
      <c r="GK45" s="193"/>
      <c r="GL45" s="193"/>
      <c r="GM45" s="193"/>
      <c r="GN45" s="193"/>
      <c r="GO45" s="193"/>
      <c r="GP45" s="193"/>
      <c r="GQ45" s="193"/>
      <c r="GR45" s="193"/>
      <c r="GS45" s="193"/>
      <c r="GT45" s="193"/>
      <c r="GU45" s="193"/>
      <c r="GV45" s="193"/>
      <c r="GW45" s="193"/>
      <c r="GX45" s="193"/>
      <c r="GY45" s="193"/>
      <c r="GZ45" s="193"/>
      <c r="HA45" s="193"/>
      <c r="HB45" s="193"/>
      <c r="HC45" s="193"/>
      <c r="HD45" s="193"/>
      <c r="HE45" s="193"/>
      <c r="HF45" s="193"/>
      <c r="HG45" s="193"/>
      <c r="HH45" s="193"/>
      <c r="HI45" s="193"/>
      <c r="HJ45" s="193"/>
      <c r="HK45" s="193"/>
      <c r="HL45" s="193"/>
      <c r="HM45" s="193"/>
      <c r="HN45" s="193"/>
      <c r="HO45" s="193"/>
      <c r="HP45" s="193"/>
      <c r="HQ45" s="193"/>
      <c r="HR45" s="193"/>
      <c r="HS45" s="193"/>
      <c r="HT45" s="193"/>
      <c r="HU45" s="193"/>
      <c r="HV45" s="193"/>
      <c r="HW45" s="193"/>
      <c r="HX45" s="193"/>
      <c r="HY45" s="193"/>
      <c r="HZ45" s="193"/>
      <c r="IA45" s="193"/>
      <c r="IB45" s="193"/>
      <c r="IC45" s="193"/>
      <c r="ID45" s="193"/>
      <c r="IE45" s="193"/>
      <c r="IF45" s="193"/>
      <c r="IG45" s="193"/>
      <c r="IH45" s="193"/>
      <c r="II45" s="193"/>
      <c r="IJ45" s="193"/>
      <c r="IK45" s="193"/>
      <c r="IL45" s="193"/>
      <c r="IM45" s="193"/>
      <c r="IN45" s="193"/>
      <c r="IO45" s="193"/>
      <c r="IP45" s="193"/>
      <c r="IQ45" s="193"/>
      <c r="IR45" s="193"/>
      <c r="IS45" s="193"/>
      <c r="IT45" s="193"/>
      <c r="IU45" s="193"/>
      <c r="IV45" s="193"/>
    </row>
    <row r="46" spans="1:256" s="15" customFormat="1" ht="108" x14ac:dyDescent="0.3">
      <c r="A46" s="485"/>
      <c r="B46" s="16" t="s">
        <v>154</v>
      </c>
      <c r="C46" s="455" t="s">
        <v>155</v>
      </c>
      <c r="D46" s="16">
        <v>42430</v>
      </c>
      <c r="E46" s="17" t="s">
        <v>156</v>
      </c>
      <c r="F46" s="486"/>
      <c r="G46" s="488"/>
      <c r="H46" s="315">
        <v>27000000</v>
      </c>
      <c r="I46" s="491"/>
      <c r="J46" s="315">
        <v>0</v>
      </c>
      <c r="K46" s="362">
        <v>27000000</v>
      </c>
      <c r="L46" s="307">
        <v>25501690</v>
      </c>
      <c r="M46" s="309">
        <f t="shared" si="0"/>
        <v>1498310</v>
      </c>
      <c r="N46" s="291">
        <v>0</v>
      </c>
      <c r="O46" s="291">
        <v>0</v>
      </c>
      <c r="P46" s="309">
        <f t="shared" si="1"/>
        <v>1498310</v>
      </c>
      <c r="R46" s="193"/>
      <c r="S46" s="193"/>
      <c r="T46" s="193"/>
      <c r="U46" s="193"/>
      <c r="V46" s="193"/>
      <c r="W46" s="193"/>
      <c r="X46" s="193"/>
      <c r="Y46" s="193"/>
      <c r="Z46" s="193"/>
      <c r="AA46" s="193"/>
      <c r="AB46" s="193"/>
      <c r="AC46" s="193"/>
      <c r="AD46" s="193"/>
      <c r="AE46" s="193"/>
      <c r="AF46" s="193"/>
      <c r="AG46" s="193"/>
      <c r="AH46" s="193"/>
      <c r="AI46" s="193"/>
      <c r="AJ46" s="193"/>
      <c r="AK46" s="193"/>
      <c r="AL46" s="193"/>
      <c r="AM46" s="193"/>
      <c r="AN46" s="193"/>
      <c r="AO46" s="193"/>
      <c r="AP46" s="193"/>
      <c r="AQ46" s="193"/>
      <c r="AR46" s="193"/>
      <c r="AS46" s="193"/>
      <c r="AT46" s="193"/>
      <c r="AU46" s="193"/>
      <c r="AV46" s="193"/>
      <c r="AW46" s="193"/>
      <c r="AX46" s="193"/>
      <c r="AY46" s="193"/>
      <c r="AZ46" s="193"/>
      <c r="BA46" s="193"/>
      <c r="BB46" s="193"/>
      <c r="BC46" s="193"/>
      <c r="BD46" s="193"/>
      <c r="BE46" s="193"/>
      <c r="BF46" s="193"/>
      <c r="BG46" s="193"/>
      <c r="BH46" s="193"/>
      <c r="BI46" s="193"/>
      <c r="BJ46" s="193"/>
      <c r="BK46" s="193"/>
      <c r="BL46" s="193"/>
      <c r="BM46" s="193"/>
      <c r="BN46" s="193"/>
      <c r="BO46" s="193"/>
      <c r="BP46" s="193"/>
      <c r="BQ46" s="193"/>
      <c r="BR46" s="193"/>
      <c r="BS46" s="193"/>
      <c r="BT46" s="193"/>
      <c r="BU46" s="193"/>
      <c r="BV46" s="193"/>
      <c r="BW46" s="193"/>
      <c r="BX46" s="193"/>
      <c r="BY46" s="193"/>
      <c r="BZ46" s="193"/>
      <c r="CA46" s="193"/>
      <c r="CB46" s="193"/>
      <c r="CC46" s="193"/>
      <c r="CD46" s="193"/>
      <c r="CE46" s="193"/>
      <c r="CF46" s="193"/>
      <c r="CG46" s="193"/>
      <c r="CH46" s="193"/>
      <c r="CI46" s="193"/>
      <c r="CJ46" s="193"/>
      <c r="CK46" s="193"/>
      <c r="CL46" s="193"/>
      <c r="CM46" s="193"/>
      <c r="CN46" s="193"/>
      <c r="CO46" s="193"/>
      <c r="CP46" s="193"/>
      <c r="CQ46" s="193"/>
      <c r="CR46" s="193"/>
      <c r="CS46" s="193"/>
      <c r="CT46" s="193"/>
      <c r="CU46" s="193"/>
      <c r="CV46" s="193"/>
      <c r="CW46" s="193"/>
      <c r="CX46" s="193"/>
      <c r="CY46" s="193"/>
      <c r="CZ46" s="193"/>
      <c r="DA46" s="193"/>
      <c r="DB46" s="193"/>
      <c r="DC46" s="193"/>
      <c r="DD46" s="193"/>
      <c r="DE46" s="193"/>
      <c r="DF46" s="193"/>
      <c r="DG46" s="193"/>
      <c r="DH46" s="193"/>
      <c r="DI46" s="193"/>
      <c r="DJ46" s="193"/>
      <c r="DK46" s="193"/>
      <c r="DL46" s="193"/>
      <c r="DM46" s="193"/>
      <c r="DN46" s="193"/>
      <c r="DO46" s="193"/>
      <c r="DP46" s="193"/>
      <c r="DQ46" s="193"/>
      <c r="DR46" s="193"/>
      <c r="DS46" s="193"/>
      <c r="DT46" s="193"/>
      <c r="DU46" s="193"/>
      <c r="DV46" s="193"/>
      <c r="DW46" s="193"/>
      <c r="DX46" s="193"/>
      <c r="DY46" s="193"/>
      <c r="DZ46" s="193"/>
      <c r="EA46" s="193"/>
      <c r="EB46" s="193"/>
      <c r="EC46" s="193"/>
      <c r="ED46" s="193"/>
      <c r="EE46" s="193"/>
      <c r="EF46" s="193"/>
      <c r="EG46" s="193"/>
      <c r="EH46" s="193"/>
      <c r="EI46" s="193"/>
      <c r="EJ46" s="193"/>
      <c r="EK46" s="193"/>
      <c r="EL46" s="193"/>
      <c r="EM46" s="193"/>
      <c r="EN46" s="193"/>
      <c r="EO46" s="193"/>
      <c r="EP46" s="193"/>
      <c r="EQ46" s="193"/>
      <c r="ER46" s="193"/>
      <c r="ES46" s="193"/>
      <c r="ET46" s="193"/>
      <c r="EU46" s="193"/>
      <c r="EV46" s="193"/>
      <c r="EW46" s="193"/>
      <c r="EX46" s="193"/>
      <c r="EY46" s="193"/>
      <c r="EZ46" s="193"/>
      <c r="FA46" s="193"/>
      <c r="FB46" s="193"/>
      <c r="FC46" s="193"/>
      <c r="FD46" s="193"/>
      <c r="FE46" s="193"/>
      <c r="FF46" s="193"/>
      <c r="FG46" s="193"/>
      <c r="FH46" s="193"/>
      <c r="FI46" s="193"/>
      <c r="FJ46" s="193"/>
      <c r="FK46" s="193"/>
      <c r="FL46" s="193"/>
      <c r="FM46" s="193"/>
      <c r="FN46" s="193"/>
      <c r="FO46" s="193"/>
      <c r="FP46" s="193"/>
      <c r="FQ46" s="193"/>
      <c r="FR46" s="193"/>
      <c r="FS46" s="193"/>
      <c r="FT46" s="193"/>
      <c r="FU46" s="193"/>
      <c r="FV46" s="193"/>
      <c r="FW46" s="193"/>
      <c r="FX46" s="193"/>
      <c r="FY46" s="193"/>
      <c r="FZ46" s="193"/>
      <c r="GA46" s="193"/>
      <c r="GB46" s="193"/>
      <c r="GC46" s="193"/>
      <c r="GD46" s="193"/>
      <c r="GE46" s="193"/>
      <c r="GF46" s="193"/>
      <c r="GG46" s="193"/>
      <c r="GH46" s="193"/>
      <c r="GI46" s="193"/>
      <c r="GJ46" s="193"/>
      <c r="GK46" s="193"/>
      <c r="GL46" s="193"/>
      <c r="GM46" s="193"/>
      <c r="GN46" s="193"/>
      <c r="GO46" s="193"/>
      <c r="GP46" s="193"/>
      <c r="GQ46" s="193"/>
      <c r="GR46" s="193"/>
      <c r="GS46" s="193"/>
      <c r="GT46" s="193"/>
      <c r="GU46" s="193"/>
      <c r="GV46" s="193"/>
      <c r="GW46" s="193"/>
      <c r="GX46" s="193"/>
      <c r="GY46" s="193"/>
      <c r="GZ46" s="193"/>
      <c r="HA46" s="193"/>
      <c r="HB46" s="193"/>
      <c r="HC46" s="193"/>
      <c r="HD46" s="193"/>
      <c r="HE46" s="193"/>
      <c r="HF46" s="193"/>
      <c r="HG46" s="193"/>
      <c r="HH46" s="193"/>
      <c r="HI46" s="193"/>
      <c r="HJ46" s="193"/>
      <c r="HK46" s="193"/>
      <c r="HL46" s="193"/>
      <c r="HM46" s="193"/>
      <c r="HN46" s="193"/>
      <c r="HO46" s="193"/>
      <c r="HP46" s="193"/>
      <c r="HQ46" s="193"/>
      <c r="HR46" s="193"/>
      <c r="HS46" s="193"/>
      <c r="HT46" s="193"/>
      <c r="HU46" s="193"/>
      <c r="HV46" s="193"/>
      <c r="HW46" s="193"/>
      <c r="HX46" s="193"/>
      <c r="HY46" s="193"/>
      <c r="HZ46" s="193"/>
      <c r="IA46" s="193"/>
      <c r="IB46" s="193"/>
      <c r="IC46" s="193"/>
      <c r="ID46" s="193"/>
      <c r="IE46" s="193"/>
      <c r="IF46" s="193"/>
      <c r="IG46" s="193"/>
      <c r="IH46" s="193"/>
      <c r="II46" s="193"/>
      <c r="IJ46" s="193"/>
      <c r="IK46" s="193"/>
      <c r="IL46" s="193"/>
      <c r="IM46" s="193"/>
      <c r="IN46" s="193"/>
      <c r="IO46" s="193"/>
      <c r="IP46" s="193"/>
      <c r="IQ46" s="193"/>
      <c r="IR46" s="193"/>
      <c r="IS46" s="193"/>
      <c r="IT46" s="193"/>
      <c r="IU46" s="193"/>
      <c r="IV46" s="193"/>
    </row>
    <row r="47" spans="1:256" s="15" customFormat="1" ht="31.2" x14ac:dyDescent="0.3">
      <c r="A47" s="485"/>
      <c r="B47" s="16" t="s">
        <v>157</v>
      </c>
      <c r="C47" s="455" t="s">
        <v>158</v>
      </c>
      <c r="D47" s="16">
        <v>42430</v>
      </c>
      <c r="E47" s="17" t="s">
        <v>159</v>
      </c>
      <c r="F47" s="486"/>
      <c r="G47" s="488"/>
      <c r="H47" s="315">
        <v>6000000</v>
      </c>
      <c r="I47" s="491"/>
      <c r="J47" s="315">
        <v>-5400000</v>
      </c>
      <c r="K47" s="362">
        <v>600000</v>
      </c>
      <c r="L47" s="307">
        <v>0</v>
      </c>
      <c r="M47" s="309">
        <f t="shared" si="0"/>
        <v>600000</v>
      </c>
      <c r="N47" s="291">
        <v>0</v>
      </c>
      <c r="O47" s="291">
        <v>0</v>
      </c>
      <c r="P47" s="309">
        <f t="shared" si="1"/>
        <v>600000</v>
      </c>
      <c r="R47" s="193"/>
      <c r="S47" s="193"/>
      <c r="T47" s="193"/>
      <c r="U47" s="193"/>
      <c r="V47" s="193"/>
      <c r="W47" s="193"/>
      <c r="X47" s="193"/>
      <c r="Y47" s="193"/>
      <c r="Z47" s="193"/>
      <c r="AA47" s="193"/>
      <c r="AB47" s="193"/>
      <c r="AC47" s="193"/>
      <c r="AD47" s="193"/>
      <c r="AE47" s="193"/>
      <c r="AF47" s="193"/>
      <c r="AG47" s="193"/>
      <c r="AH47" s="193"/>
      <c r="AI47" s="193"/>
      <c r="AJ47" s="193"/>
      <c r="AK47" s="193"/>
      <c r="AL47" s="193"/>
      <c r="AM47" s="193"/>
      <c r="AN47" s="193"/>
      <c r="AO47" s="193"/>
      <c r="AP47" s="193"/>
      <c r="AQ47" s="193"/>
      <c r="AR47" s="193"/>
      <c r="AS47" s="193"/>
      <c r="AT47" s="193"/>
      <c r="AU47" s="193"/>
      <c r="AV47" s="193"/>
      <c r="AW47" s="193"/>
      <c r="AX47" s="193"/>
      <c r="AY47" s="193"/>
      <c r="AZ47" s="193"/>
      <c r="BA47" s="193"/>
      <c r="BB47" s="193"/>
      <c r="BC47" s="193"/>
      <c r="BD47" s="193"/>
      <c r="BE47" s="193"/>
      <c r="BF47" s="193"/>
      <c r="BG47" s="193"/>
      <c r="BH47" s="193"/>
      <c r="BI47" s="193"/>
      <c r="BJ47" s="193"/>
      <c r="BK47" s="193"/>
      <c r="BL47" s="193"/>
      <c r="BM47" s="193"/>
      <c r="BN47" s="193"/>
      <c r="BO47" s="193"/>
      <c r="BP47" s="193"/>
      <c r="BQ47" s="193"/>
      <c r="BR47" s="193"/>
      <c r="BS47" s="193"/>
      <c r="BT47" s="193"/>
      <c r="BU47" s="193"/>
      <c r="BV47" s="193"/>
      <c r="BW47" s="193"/>
      <c r="BX47" s="193"/>
      <c r="BY47" s="193"/>
      <c r="BZ47" s="193"/>
      <c r="CA47" s="193"/>
      <c r="CB47" s="193"/>
      <c r="CC47" s="193"/>
      <c r="CD47" s="193"/>
      <c r="CE47" s="193"/>
      <c r="CF47" s="193"/>
      <c r="CG47" s="193"/>
      <c r="CH47" s="193"/>
      <c r="CI47" s="193"/>
      <c r="CJ47" s="193"/>
      <c r="CK47" s="193"/>
      <c r="CL47" s="193"/>
      <c r="CM47" s="193"/>
      <c r="CN47" s="193"/>
      <c r="CO47" s="193"/>
      <c r="CP47" s="193"/>
      <c r="CQ47" s="193"/>
      <c r="CR47" s="193"/>
      <c r="CS47" s="193"/>
      <c r="CT47" s="193"/>
      <c r="CU47" s="193"/>
      <c r="CV47" s="193"/>
      <c r="CW47" s="193"/>
      <c r="CX47" s="193"/>
      <c r="CY47" s="193"/>
      <c r="CZ47" s="193"/>
      <c r="DA47" s="193"/>
      <c r="DB47" s="193"/>
      <c r="DC47" s="193"/>
      <c r="DD47" s="193"/>
      <c r="DE47" s="193"/>
      <c r="DF47" s="193"/>
      <c r="DG47" s="193"/>
      <c r="DH47" s="193"/>
      <c r="DI47" s="193"/>
      <c r="DJ47" s="193"/>
      <c r="DK47" s="193"/>
      <c r="DL47" s="193"/>
      <c r="DM47" s="193"/>
      <c r="DN47" s="193"/>
      <c r="DO47" s="193"/>
      <c r="DP47" s="193"/>
      <c r="DQ47" s="193"/>
      <c r="DR47" s="193"/>
      <c r="DS47" s="193"/>
      <c r="DT47" s="193"/>
      <c r="DU47" s="193"/>
      <c r="DV47" s="193"/>
      <c r="DW47" s="193"/>
      <c r="DX47" s="193"/>
      <c r="DY47" s="193"/>
      <c r="DZ47" s="193"/>
      <c r="EA47" s="193"/>
      <c r="EB47" s="193"/>
      <c r="EC47" s="193"/>
      <c r="ED47" s="193"/>
      <c r="EE47" s="193"/>
      <c r="EF47" s="193"/>
      <c r="EG47" s="193"/>
      <c r="EH47" s="193"/>
      <c r="EI47" s="193"/>
      <c r="EJ47" s="193"/>
      <c r="EK47" s="193"/>
      <c r="EL47" s="193"/>
      <c r="EM47" s="193"/>
      <c r="EN47" s="193"/>
      <c r="EO47" s="193"/>
      <c r="EP47" s="193"/>
      <c r="EQ47" s="193"/>
      <c r="ER47" s="193"/>
      <c r="ES47" s="193"/>
      <c r="ET47" s="193"/>
      <c r="EU47" s="193"/>
      <c r="EV47" s="193"/>
      <c r="EW47" s="193"/>
      <c r="EX47" s="193"/>
      <c r="EY47" s="193"/>
      <c r="EZ47" s="193"/>
      <c r="FA47" s="193"/>
      <c r="FB47" s="193"/>
      <c r="FC47" s="193"/>
      <c r="FD47" s="193"/>
      <c r="FE47" s="193"/>
      <c r="FF47" s="193"/>
      <c r="FG47" s="193"/>
      <c r="FH47" s="193"/>
      <c r="FI47" s="193"/>
      <c r="FJ47" s="193"/>
      <c r="FK47" s="193"/>
      <c r="FL47" s="193"/>
      <c r="FM47" s="193"/>
      <c r="FN47" s="193"/>
      <c r="FO47" s="193"/>
      <c r="FP47" s="193"/>
      <c r="FQ47" s="193"/>
      <c r="FR47" s="193"/>
      <c r="FS47" s="193"/>
      <c r="FT47" s="193"/>
      <c r="FU47" s="193"/>
      <c r="FV47" s="193"/>
      <c r="FW47" s="193"/>
      <c r="FX47" s="193"/>
      <c r="FY47" s="193"/>
      <c r="FZ47" s="193"/>
      <c r="GA47" s="193"/>
      <c r="GB47" s="193"/>
      <c r="GC47" s="193"/>
      <c r="GD47" s="193"/>
      <c r="GE47" s="193"/>
      <c r="GF47" s="193"/>
      <c r="GG47" s="193"/>
      <c r="GH47" s="193"/>
      <c r="GI47" s="193"/>
      <c r="GJ47" s="193"/>
      <c r="GK47" s="193"/>
      <c r="GL47" s="193"/>
      <c r="GM47" s="193"/>
      <c r="GN47" s="193"/>
      <c r="GO47" s="193"/>
      <c r="GP47" s="193"/>
      <c r="GQ47" s="193"/>
      <c r="GR47" s="193"/>
      <c r="GS47" s="193"/>
      <c r="GT47" s="193"/>
      <c r="GU47" s="193"/>
      <c r="GV47" s="193"/>
      <c r="GW47" s="193"/>
      <c r="GX47" s="193"/>
      <c r="GY47" s="193"/>
      <c r="GZ47" s="193"/>
      <c r="HA47" s="193"/>
      <c r="HB47" s="193"/>
      <c r="HC47" s="193"/>
      <c r="HD47" s="193"/>
      <c r="HE47" s="193"/>
      <c r="HF47" s="193"/>
      <c r="HG47" s="193"/>
      <c r="HH47" s="193"/>
      <c r="HI47" s="193"/>
      <c r="HJ47" s="193"/>
      <c r="HK47" s="193"/>
      <c r="HL47" s="193"/>
      <c r="HM47" s="193"/>
      <c r="HN47" s="193"/>
      <c r="HO47" s="193"/>
      <c r="HP47" s="193"/>
      <c r="HQ47" s="193"/>
      <c r="HR47" s="193"/>
      <c r="HS47" s="193"/>
      <c r="HT47" s="193"/>
      <c r="HU47" s="193"/>
      <c r="HV47" s="193"/>
      <c r="HW47" s="193"/>
      <c r="HX47" s="193"/>
      <c r="HY47" s="193"/>
      <c r="HZ47" s="193"/>
      <c r="IA47" s="193"/>
      <c r="IB47" s="193"/>
      <c r="IC47" s="193"/>
      <c r="ID47" s="193"/>
      <c r="IE47" s="193"/>
      <c r="IF47" s="193"/>
      <c r="IG47" s="193"/>
      <c r="IH47" s="193"/>
      <c r="II47" s="193"/>
      <c r="IJ47" s="193"/>
      <c r="IK47" s="193"/>
      <c r="IL47" s="193"/>
      <c r="IM47" s="193"/>
      <c r="IN47" s="193"/>
      <c r="IO47" s="193"/>
      <c r="IP47" s="193"/>
      <c r="IQ47" s="193"/>
      <c r="IR47" s="193"/>
      <c r="IS47" s="193"/>
      <c r="IT47" s="193"/>
      <c r="IU47" s="193"/>
      <c r="IV47" s="193"/>
    </row>
    <row r="48" spans="1:256" s="15" customFormat="1" ht="36" x14ac:dyDescent="0.3">
      <c r="A48" s="485"/>
      <c r="B48" s="16" t="s">
        <v>160</v>
      </c>
      <c r="C48" s="455" t="s">
        <v>161</v>
      </c>
      <c r="D48" s="16">
        <v>42644</v>
      </c>
      <c r="E48" s="17" t="s">
        <v>162</v>
      </c>
      <c r="F48" s="486"/>
      <c r="G48" s="488"/>
      <c r="H48" s="315">
        <v>0</v>
      </c>
      <c r="I48" s="491"/>
      <c r="J48" s="315">
        <v>300000</v>
      </c>
      <c r="K48" s="362">
        <v>300000</v>
      </c>
      <c r="L48" s="307">
        <v>0</v>
      </c>
      <c r="M48" s="309">
        <f t="shared" si="0"/>
        <v>300000</v>
      </c>
      <c r="N48" s="291">
        <v>0</v>
      </c>
      <c r="O48" s="291">
        <v>0</v>
      </c>
      <c r="P48" s="309">
        <f>SUM(M48:O48)</f>
        <v>300000</v>
      </c>
      <c r="R48" s="193"/>
      <c r="S48" s="193"/>
      <c r="T48" s="193"/>
      <c r="U48" s="193"/>
      <c r="V48" s="193"/>
      <c r="W48" s="193"/>
      <c r="X48" s="193"/>
      <c r="Y48" s="193"/>
      <c r="Z48" s="193"/>
      <c r="AA48" s="193"/>
      <c r="AB48" s="193"/>
      <c r="AC48" s="193"/>
      <c r="AD48" s="193"/>
      <c r="AE48" s="193"/>
      <c r="AF48" s="193"/>
      <c r="AG48" s="193"/>
      <c r="AH48" s="193"/>
      <c r="AI48" s="193"/>
      <c r="AJ48" s="193"/>
      <c r="AK48" s="193"/>
      <c r="AL48" s="193"/>
      <c r="AM48" s="193"/>
      <c r="AN48" s="193"/>
      <c r="AO48" s="193"/>
      <c r="AP48" s="193"/>
      <c r="AQ48" s="193"/>
      <c r="AR48" s="193"/>
      <c r="AS48" s="193"/>
      <c r="AT48" s="193"/>
      <c r="AU48" s="193"/>
      <c r="AV48" s="193"/>
      <c r="AW48" s="193"/>
      <c r="AX48" s="193"/>
      <c r="AY48" s="193"/>
      <c r="AZ48" s="193"/>
      <c r="BA48" s="193"/>
      <c r="BB48" s="193"/>
      <c r="BC48" s="193"/>
      <c r="BD48" s="193"/>
      <c r="BE48" s="193"/>
      <c r="BF48" s="193"/>
      <c r="BG48" s="193"/>
      <c r="BH48" s="193"/>
      <c r="BI48" s="193"/>
      <c r="BJ48" s="193"/>
      <c r="BK48" s="193"/>
      <c r="BL48" s="193"/>
      <c r="BM48" s="193"/>
      <c r="BN48" s="193"/>
      <c r="BO48" s="193"/>
      <c r="BP48" s="193"/>
      <c r="BQ48" s="193"/>
      <c r="BR48" s="193"/>
      <c r="BS48" s="193"/>
      <c r="BT48" s="193"/>
      <c r="BU48" s="193"/>
      <c r="BV48" s="193"/>
      <c r="BW48" s="193"/>
      <c r="BX48" s="193"/>
      <c r="BY48" s="193"/>
      <c r="BZ48" s="193"/>
      <c r="CA48" s="193"/>
      <c r="CB48" s="193"/>
      <c r="CC48" s="193"/>
      <c r="CD48" s="193"/>
      <c r="CE48" s="193"/>
      <c r="CF48" s="193"/>
      <c r="CG48" s="193"/>
      <c r="CH48" s="193"/>
      <c r="CI48" s="193"/>
      <c r="CJ48" s="193"/>
      <c r="CK48" s="193"/>
      <c r="CL48" s="193"/>
      <c r="CM48" s="193"/>
      <c r="CN48" s="193"/>
      <c r="CO48" s="193"/>
      <c r="CP48" s="193"/>
      <c r="CQ48" s="193"/>
      <c r="CR48" s="193"/>
      <c r="CS48" s="193"/>
      <c r="CT48" s="193"/>
      <c r="CU48" s="193"/>
      <c r="CV48" s="193"/>
      <c r="CW48" s="193"/>
      <c r="CX48" s="193"/>
      <c r="CY48" s="193"/>
      <c r="CZ48" s="193"/>
      <c r="DA48" s="193"/>
      <c r="DB48" s="193"/>
      <c r="DC48" s="193"/>
      <c r="DD48" s="193"/>
      <c r="DE48" s="193"/>
      <c r="DF48" s="193"/>
      <c r="DG48" s="193"/>
      <c r="DH48" s="193"/>
      <c r="DI48" s="193"/>
      <c r="DJ48" s="193"/>
      <c r="DK48" s="193"/>
      <c r="DL48" s="193"/>
      <c r="DM48" s="193"/>
      <c r="DN48" s="193"/>
      <c r="DO48" s="193"/>
      <c r="DP48" s="193"/>
      <c r="DQ48" s="193"/>
      <c r="DR48" s="193"/>
      <c r="DS48" s="193"/>
      <c r="DT48" s="193"/>
      <c r="DU48" s="193"/>
      <c r="DV48" s="193"/>
      <c r="DW48" s="193"/>
      <c r="DX48" s="193"/>
      <c r="DY48" s="193"/>
      <c r="DZ48" s="193"/>
      <c r="EA48" s="193"/>
      <c r="EB48" s="193"/>
      <c r="EC48" s="193"/>
      <c r="ED48" s="193"/>
      <c r="EE48" s="193"/>
      <c r="EF48" s="193"/>
      <c r="EG48" s="193"/>
      <c r="EH48" s="193"/>
      <c r="EI48" s="193"/>
      <c r="EJ48" s="193"/>
      <c r="EK48" s="193"/>
      <c r="EL48" s="193"/>
      <c r="EM48" s="193"/>
      <c r="EN48" s="193"/>
      <c r="EO48" s="193"/>
      <c r="EP48" s="193"/>
      <c r="EQ48" s="193"/>
      <c r="ER48" s="193"/>
      <c r="ES48" s="193"/>
      <c r="ET48" s="193"/>
      <c r="EU48" s="193"/>
      <c r="EV48" s="193"/>
      <c r="EW48" s="193"/>
      <c r="EX48" s="193"/>
      <c r="EY48" s="193"/>
      <c r="EZ48" s="193"/>
      <c r="FA48" s="193"/>
      <c r="FB48" s="193"/>
      <c r="FC48" s="193"/>
      <c r="FD48" s="193"/>
      <c r="FE48" s="193"/>
      <c r="FF48" s="193"/>
      <c r="FG48" s="193"/>
      <c r="FH48" s="193"/>
      <c r="FI48" s="193"/>
      <c r="FJ48" s="193"/>
      <c r="FK48" s="193"/>
      <c r="FL48" s="193"/>
      <c r="FM48" s="193"/>
      <c r="FN48" s="193"/>
      <c r="FO48" s="193"/>
      <c r="FP48" s="193"/>
      <c r="FQ48" s="193"/>
      <c r="FR48" s="193"/>
      <c r="FS48" s="193"/>
      <c r="FT48" s="193"/>
      <c r="FU48" s="193"/>
      <c r="FV48" s="193"/>
      <c r="FW48" s="193"/>
      <c r="FX48" s="193"/>
      <c r="FY48" s="193"/>
      <c r="FZ48" s="193"/>
      <c r="GA48" s="193"/>
      <c r="GB48" s="193"/>
      <c r="GC48" s="193"/>
      <c r="GD48" s="193"/>
      <c r="GE48" s="193"/>
      <c r="GF48" s="193"/>
      <c r="GG48" s="193"/>
      <c r="GH48" s="193"/>
      <c r="GI48" s="193"/>
      <c r="GJ48" s="193"/>
      <c r="GK48" s="193"/>
      <c r="GL48" s="193"/>
      <c r="GM48" s="193"/>
      <c r="GN48" s="193"/>
      <c r="GO48" s="193"/>
      <c r="GP48" s="193"/>
      <c r="GQ48" s="193"/>
      <c r="GR48" s="193"/>
      <c r="GS48" s="193"/>
      <c r="GT48" s="193"/>
      <c r="GU48" s="193"/>
      <c r="GV48" s="193"/>
      <c r="GW48" s="193"/>
      <c r="GX48" s="193"/>
      <c r="GY48" s="193"/>
      <c r="GZ48" s="193"/>
      <c r="HA48" s="193"/>
      <c r="HB48" s="193"/>
      <c r="HC48" s="193"/>
      <c r="HD48" s="193"/>
      <c r="HE48" s="193"/>
      <c r="HF48" s="193"/>
      <c r="HG48" s="193"/>
      <c r="HH48" s="193"/>
      <c r="HI48" s="193"/>
      <c r="HJ48" s="193"/>
      <c r="HK48" s="193"/>
      <c r="HL48" s="193"/>
      <c r="HM48" s="193"/>
      <c r="HN48" s="193"/>
      <c r="HO48" s="193"/>
      <c r="HP48" s="193"/>
      <c r="HQ48" s="193"/>
      <c r="HR48" s="193"/>
      <c r="HS48" s="193"/>
      <c r="HT48" s="193"/>
      <c r="HU48" s="193"/>
      <c r="HV48" s="193"/>
      <c r="HW48" s="193"/>
      <c r="HX48" s="193"/>
      <c r="HY48" s="193"/>
      <c r="HZ48" s="193"/>
      <c r="IA48" s="193"/>
      <c r="IB48" s="193"/>
      <c r="IC48" s="193"/>
      <c r="ID48" s="193"/>
      <c r="IE48" s="193"/>
      <c r="IF48" s="193"/>
      <c r="IG48" s="193"/>
      <c r="IH48" s="193"/>
      <c r="II48" s="193"/>
      <c r="IJ48" s="193"/>
      <c r="IK48" s="193"/>
      <c r="IL48" s="193"/>
      <c r="IM48" s="193"/>
      <c r="IN48" s="193"/>
      <c r="IO48" s="193"/>
      <c r="IP48" s="193"/>
      <c r="IQ48" s="193"/>
      <c r="IR48" s="193"/>
      <c r="IS48" s="193"/>
      <c r="IT48" s="193"/>
      <c r="IU48" s="193"/>
      <c r="IV48" s="193"/>
    </row>
    <row r="49" spans="1:256" s="15" customFormat="1" ht="54" x14ac:dyDescent="0.3">
      <c r="A49" s="485"/>
      <c r="B49" s="16" t="s">
        <v>163</v>
      </c>
      <c r="C49" s="455" t="s">
        <v>164</v>
      </c>
      <c r="D49" s="16">
        <v>42552</v>
      </c>
      <c r="E49" s="17" t="s">
        <v>165</v>
      </c>
      <c r="F49" s="486"/>
      <c r="G49" s="488"/>
      <c r="H49" s="315">
        <v>300000</v>
      </c>
      <c r="I49" s="491"/>
      <c r="J49" s="315">
        <f>K49-H49</f>
        <v>6400000</v>
      </c>
      <c r="K49" s="362">
        <v>6700000</v>
      </c>
      <c r="L49" s="307">
        <v>0</v>
      </c>
      <c r="M49" s="309">
        <f t="shared" si="0"/>
        <v>6700000</v>
      </c>
      <c r="N49" s="291">
        <v>0</v>
      </c>
      <c r="O49" s="291">
        <v>0</v>
      </c>
      <c r="P49" s="309">
        <f t="shared" si="1"/>
        <v>6700000</v>
      </c>
      <c r="R49" s="193"/>
      <c r="S49" s="193"/>
      <c r="T49" s="193"/>
      <c r="U49" s="193"/>
      <c r="V49" s="193"/>
      <c r="W49" s="193"/>
      <c r="X49" s="193"/>
      <c r="Y49" s="193"/>
      <c r="Z49" s="193"/>
      <c r="AA49" s="193"/>
      <c r="AB49" s="193"/>
      <c r="AC49" s="193"/>
      <c r="AD49" s="193"/>
      <c r="AE49" s="193"/>
      <c r="AF49" s="193"/>
      <c r="AG49" s="193"/>
      <c r="AH49" s="193"/>
      <c r="AI49" s="193"/>
      <c r="AJ49" s="193"/>
      <c r="AK49" s="193"/>
      <c r="AL49" s="193"/>
      <c r="AM49" s="193"/>
      <c r="AN49" s="193"/>
      <c r="AO49" s="193"/>
      <c r="AP49" s="193"/>
      <c r="AQ49" s="193"/>
      <c r="AR49" s="193"/>
      <c r="AS49" s="193"/>
      <c r="AT49" s="193"/>
      <c r="AU49" s="193"/>
      <c r="AV49" s="193"/>
      <c r="AW49" s="193"/>
      <c r="AX49" s="193"/>
      <c r="AY49" s="193"/>
      <c r="AZ49" s="193"/>
      <c r="BA49" s="193"/>
      <c r="BB49" s="193"/>
      <c r="BC49" s="193"/>
      <c r="BD49" s="193"/>
      <c r="BE49" s="193"/>
      <c r="BF49" s="193"/>
      <c r="BG49" s="193"/>
      <c r="BH49" s="193"/>
      <c r="BI49" s="193"/>
      <c r="BJ49" s="193"/>
      <c r="BK49" s="193"/>
      <c r="BL49" s="193"/>
      <c r="BM49" s="193"/>
      <c r="BN49" s="193"/>
      <c r="BO49" s="193"/>
      <c r="BP49" s="193"/>
      <c r="BQ49" s="193"/>
      <c r="BR49" s="193"/>
      <c r="BS49" s="193"/>
      <c r="BT49" s="193"/>
      <c r="BU49" s="193"/>
      <c r="BV49" s="193"/>
      <c r="BW49" s="193"/>
      <c r="BX49" s="193"/>
      <c r="BY49" s="193"/>
      <c r="BZ49" s="193"/>
      <c r="CA49" s="193"/>
      <c r="CB49" s="193"/>
      <c r="CC49" s="193"/>
      <c r="CD49" s="193"/>
      <c r="CE49" s="193"/>
      <c r="CF49" s="193"/>
      <c r="CG49" s="193"/>
      <c r="CH49" s="193"/>
      <c r="CI49" s="193"/>
      <c r="CJ49" s="193"/>
      <c r="CK49" s="193"/>
      <c r="CL49" s="193"/>
      <c r="CM49" s="193"/>
      <c r="CN49" s="193"/>
      <c r="CO49" s="193"/>
      <c r="CP49" s="193"/>
      <c r="CQ49" s="193"/>
      <c r="CR49" s="193"/>
      <c r="CS49" s="193"/>
      <c r="CT49" s="193"/>
      <c r="CU49" s="193"/>
      <c r="CV49" s="193"/>
      <c r="CW49" s="193"/>
      <c r="CX49" s="193"/>
      <c r="CY49" s="193"/>
      <c r="CZ49" s="193"/>
      <c r="DA49" s="193"/>
      <c r="DB49" s="193"/>
      <c r="DC49" s="193"/>
      <c r="DD49" s="193"/>
      <c r="DE49" s="193"/>
      <c r="DF49" s="193"/>
      <c r="DG49" s="193"/>
      <c r="DH49" s="193"/>
      <c r="DI49" s="193"/>
      <c r="DJ49" s="193"/>
      <c r="DK49" s="193"/>
      <c r="DL49" s="193"/>
      <c r="DM49" s="193"/>
      <c r="DN49" s="193"/>
      <c r="DO49" s="193"/>
      <c r="DP49" s="193"/>
      <c r="DQ49" s="193"/>
      <c r="DR49" s="193"/>
      <c r="DS49" s="193"/>
      <c r="DT49" s="193"/>
      <c r="DU49" s="193"/>
      <c r="DV49" s="193"/>
      <c r="DW49" s="193"/>
      <c r="DX49" s="193"/>
      <c r="DY49" s="193"/>
      <c r="DZ49" s="193"/>
      <c r="EA49" s="193"/>
      <c r="EB49" s="193"/>
      <c r="EC49" s="193"/>
      <c r="ED49" s="193"/>
      <c r="EE49" s="193"/>
      <c r="EF49" s="193"/>
      <c r="EG49" s="193"/>
      <c r="EH49" s="193"/>
      <c r="EI49" s="193"/>
      <c r="EJ49" s="193"/>
      <c r="EK49" s="193"/>
      <c r="EL49" s="193"/>
      <c r="EM49" s="193"/>
      <c r="EN49" s="193"/>
      <c r="EO49" s="193"/>
      <c r="EP49" s="193"/>
      <c r="EQ49" s="193"/>
      <c r="ER49" s="193"/>
      <c r="ES49" s="193"/>
      <c r="ET49" s="193"/>
      <c r="EU49" s="193"/>
      <c r="EV49" s="193"/>
      <c r="EW49" s="193"/>
      <c r="EX49" s="193"/>
      <c r="EY49" s="193"/>
      <c r="EZ49" s="193"/>
      <c r="FA49" s="193"/>
      <c r="FB49" s="193"/>
      <c r="FC49" s="193"/>
      <c r="FD49" s="193"/>
      <c r="FE49" s="193"/>
      <c r="FF49" s="193"/>
      <c r="FG49" s="193"/>
      <c r="FH49" s="193"/>
      <c r="FI49" s="193"/>
      <c r="FJ49" s="193"/>
      <c r="FK49" s="193"/>
      <c r="FL49" s="193"/>
      <c r="FM49" s="193"/>
      <c r="FN49" s="193"/>
      <c r="FO49" s="193"/>
      <c r="FP49" s="193"/>
      <c r="FQ49" s="193"/>
      <c r="FR49" s="193"/>
      <c r="FS49" s="193"/>
      <c r="FT49" s="193"/>
      <c r="FU49" s="193"/>
      <c r="FV49" s="193"/>
      <c r="FW49" s="193"/>
      <c r="FX49" s="193"/>
      <c r="FY49" s="193"/>
      <c r="FZ49" s="193"/>
      <c r="GA49" s="193"/>
      <c r="GB49" s="193"/>
      <c r="GC49" s="193"/>
      <c r="GD49" s="193"/>
      <c r="GE49" s="193"/>
      <c r="GF49" s="193"/>
      <c r="GG49" s="193"/>
      <c r="GH49" s="193"/>
      <c r="GI49" s="193"/>
      <c r="GJ49" s="193"/>
      <c r="GK49" s="193"/>
      <c r="GL49" s="193"/>
      <c r="GM49" s="193"/>
      <c r="GN49" s="193"/>
      <c r="GO49" s="193"/>
      <c r="GP49" s="193"/>
      <c r="GQ49" s="193"/>
      <c r="GR49" s="193"/>
      <c r="GS49" s="193"/>
      <c r="GT49" s="193"/>
      <c r="GU49" s="193"/>
      <c r="GV49" s="193"/>
      <c r="GW49" s="193"/>
      <c r="GX49" s="193"/>
      <c r="GY49" s="193"/>
      <c r="GZ49" s="193"/>
      <c r="HA49" s="193"/>
      <c r="HB49" s="193"/>
      <c r="HC49" s="193"/>
      <c r="HD49" s="193"/>
      <c r="HE49" s="193"/>
      <c r="HF49" s="193"/>
      <c r="HG49" s="193"/>
      <c r="HH49" s="193"/>
      <c r="HI49" s="193"/>
      <c r="HJ49" s="193"/>
      <c r="HK49" s="193"/>
      <c r="HL49" s="193"/>
      <c r="HM49" s="193"/>
      <c r="HN49" s="193"/>
      <c r="HO49" s="193"/>
      <c r="HP49" s="193"/>
      <c r="HQ49" s="193"/>
      <c r="HR49" s="193"/>
      <c r="HS49" s="193"/>
      <c r="HT49" s="193"/>
      <c r="HU49" s="193"/>
      <c r="HV49" s="193"/>
      <c r="HW49" s="193"/>
      <c r="HX49" s="193"/>
      <c r="HY49" s="193"/>
      <c r="HZ49" s="193"/>
      <c r="IA49" s="193"/>
      <c r="IB49" s="193"/>
      <c r="IC49" s="193"/>
      <c r="ID49" s="193"/>
      <c r="IE49" s="193"/>
      <c r="IF49" s="193"/>
      <c r="IG49" s="193"/>
      <c r="IH49" s="193"/>
      <c r="II49" s="193"/>
      <c r="IJ49" s="193"/>
      <c r="IK49" s="193"/>
      <c r="IL49" s="193"/>
      <c r="IM49" s="193"/>
      <c r="IN49" s="193"/>
      <c r="IO49" s="193"/>
      <c r="IP49" s="193"/>
      <c r="IQ49" s="193"/>
      <c r="IR49" s="193"/>
      <c r="IS49" s="193"/>
      <c r="IT49" s="193"/>
      <c r="IU49" s="193"/>
      <c r="IV49" s="193"/>
    </row>
    <row r="50" spans="1:256" s="15" customFormat="1" ht="36" x14ac:dyDescent="0.3">
      <c r="A50" s="485"/>
      <c r="B50" s="16" t="s">
        <v>166</v>
      </c>
      <c r="C50" s="455" t="s">
        <v>167</v>
      </c>
      <c r="D50" s="16">
        <v>42675</v>
      </c>
      <c r="E50" s="17" t="s">
        <v>132</v>
      </c>
      <c r="F50" s="486"/>
      <c r="G50" s="488"/>
      <c r="H50" s="315">
        <v>500000</v>
      </c>
      <c r="I50" s="491"/>
      <c r="J50" s="315">
        <v>0</v>
      </c>
      <c r="K50" s="362">
        <v>500000</v>
      </c>
      <c r="L50" s="307">
        <v>259500</v>
      </c>
      <c r="M50" s="309">
        <f t="shared" si="0"/>
        <v>240500</v>
      </c>
      <c r="N50" s="291">
        <v>15000</v>
      </c>
      <c r="O50" s="291">
        <v>0</v>
      </c>
      <c r="P50" s="309">
        <f t="shared" si="1"/>
        <v>255500</v>
      </c>
      <c r="R50" s="193"/>
      <c r="S50" s="193"/>
      <c r="T50" s="193"/>
      <c r="U50" s="193"/>
      <c r="V50" s="193"/>
      <c r="W50" s="193"/>
      <c r="X50" s="193"/>
      <c r="Y50" s="193"/>
      <c r="Z50" s="193"/>
      <c r="AA50" s="193"/>
      <c r="AB50" s="193"/>
      <c r="AC50" s="193"/>
      <c r="AD50" s="193"/>
      <c r="AE50" s="193"/>
      <c r="AF50" s="193"/>
      <c r="AG50" s="193"/>
      <c r="AH50" s="193"/>
      <c r="AI50" s="193"/>
      <c r="AJ50" s="193"/>
      <c r="AK50" s="193"/>
      <c r="AL50" s="193"/>
      <c r="AM50" s="193"/>
      <c r="AN50" s="193"/>
      <c r="AO50" s="193"/>
      <c r="AP50" s="193"/>
      <c r="AQ50" s="193"/>
      <c r="AR50" s="193"/>
      <c r="AS50" s="193"/>
      <c r="AT50" s="193"/>
      <c r="AU50" s="193"/>
      <c r="AV50" s="193"/>
      <c r="AW50" s="193"/>
      <c r="AX50" s="193"/>
      <c r="AY50" s="193"/>
      <c r="AZ50" s="193"/>
      <c r="BA50" s="193"/>
      <c r="BB50" s="193"/>
      <c r="BC50" s="193"/>
      <c r="BD50" s="193"/>
      <c r="BE50" s="193"/>
      <c r="BF50" s="193"/>
      <c r="BG50" s="193"/>
      <c r="BH50" s="193"/>
      <c r="BI50" s="193"/>
      <c r="BJ50" s="193"/>
      <c r="BK50" s="193"/>
      <c r="BL50" s="193"/>
      <c r="BM50" s="193"/>
      <c r="BN50" s="193"/>
      <c r="BO50" s="193"/>
      <c r="BP50" s="193"/>
      <c r="BQ50" s="193"/>
      <c r="BR50" s="193"/>
      <c r="BS50" s="193"/>
      <c r="BT50" s="193"/>
      <c r="BU50" s="193"/>
      <c r="BV50" s="193"/>
      <c r="BW50" s="193"/>
      <c r="BX50" s="193"/>
      <c r="BY50" s="193"/>
      <c r="BZ50" s="193"/>
      <c r="CA50" s="193"/>
      <c r="CB50" s="193"/>
      <c r="CC50" s="193"/>
      <c r="CD50" s="193"/>
      <c r="CE50" s="193"/>
      <c r="CF50" s="193"/>
      <c r="CG50" s="193"/>
      <c r="CH50" s="193"/>
      <c r="CI50" s="193"/>
      <c r="CJ50" s="193"/>
      <c r="CK50" s="193"/>
      <c r="CL50" s="193"/>
      <c r="CM50" s="193"/>
      <c r="CN50" s="193"/>
      <c r="CO50" s="193"/>
      <c r="CP50" s="193"/>
      <c r="CQ50" s="193"/>
      <c r="CR50" s="193"/>
      <c r="CS50" s="193"/>
      <c r="CT50" s="193"/>
      <c r="CU50" s="193"/>
      <c r="CV50" s="193"/>
      <c r="CW50" s="193"/>
      <c r="CX50" s="193"/>
      <c r="CY50" s="193"/>
      <c r="CZ50" s="193"/>
      <c r="DA50" s="193"/>
      <c r="DB50" s="193"/>
      <c r="DC50" s="193"/>
      <c r="DD50" s="193"/>
      <c r="DE50" s="193"/>
      <c r="DF50" s="193"/>
      <c r="DG50" s="193"/>
      <c r="DH50" s="193"/>
      <c r="DI50" s="193"/>
      <c r="DJ50" s="193"/>
      <c r="DK50" s="193"/>
      <c r="DL50" s="193"/>
      <c r="DM50" s="193"/>
      <c r="DN50" s="193"/>
      <c r="DO50" s="193"/>
      <c r="DP50" s="193"/>
      <c r="DQ50" s="193"/>
      <c r="DR50" s="193"/>
      <c r="DS50" s="193"/>
      <c r="DT50" s="193"/>
      <c r="DU50" s="193"/>
      <c r="DV50" s="193"/>
      <c r="DW50" s="193"/>
      <c r="DX50" s="193"/>
      <c r="DY50" s="193"/>
      <c r="DZ50" s="193"/>
      <c r="EA50" s="193"/>
      <c r="EB50" s="193"/>
      <c r="EC50" s="193"/>
      <c r="ED50" s="193"/>
      <c r="EE50" s="193"/>
      <c r="EF50" s="193"/>
      <c r="EG50" s="193"/>
      <c r="EH50" s="193"/>
      <c r="EI50" s="193"/>
      <c r="EJ50" s="193"/>
      <c r="EK50" s="193"/>
      <c r="EL50" s="193"/>
      <c r="EM50" s="193"/>
      <c r="EN50" s="193"/>
      <c r="EO50" s="193"/>
      <c r="EP50" s="193"/>
      <c r="EQ50" s="193"/>
      <c r="ER50" s="193"/>
      <c r="ES50" s="193"/>
      <c r="ET50" s="193"/>
      <c r="EU50" s="193"/>
      <c r="EV50" s="193"/>
      <c r="EW50" s="193"/>
      <c r="EX50" s="193"/>
      <c r="EY50" s="193"/>
      <c r="EZ50" s="193"/>
      <c r="FA50" s="193"/>
      <c r="FB50" s="193"/>
      <c r="FC50" s="193"/>
      <c r="FD50" s="193"/>
      <c r="FE50" s="193"/>
      <c r="FF50" s="193"/>
      <c r="FG50" s="193"/>
      <c r="FH50" s="193"/>
      <c r="FI50" s="193"/>
      <c r="FJ50" s="193"/>
      <c r="FK50" s="193"/>
      <c r="FL50" s="193"/>
      <c r="FM50" s="193"/>
      <c r="FN50" s="193"/>
      <c r="FO50" s="193"/>
      <c r="FP50" s="193"/>
      <c r="FQ50" s="193"/>
      <c r="FR50" s="193"/>
      <c r="FS50" s="193"/>
      <c r="FT50" s="193"/>
      <c r="FU50" s="193"/>
      <c r="FV50" s="193"/>
      <c r="FW50" s="193"/>
      <c r="FX50" s="193"/>
      <c r="FY50" s="193"/>
      <c r="FZ50" s="193"/>
      <c r="GA50" s="193"/>
      <c r="GB50" s="193"/>
      <c r="GC50" s="193"/>
      <c r="GD50" s="193"/>
      <c r="GE50" s="193"/>
      <c r="GF50" s="193"/>
      <c r="GG50" s="193"/>
      <c r="GH50" s="193"/>
      <c r="GI50" s="193"/>
      <c r="GJ50" s="193"/>
      <c r="GK50" s="193"/>
      <c r="GL50" s="193"/>
      <c r="GM50" s="193"/>
      <c r="GN50" s="193"/>
      <c r="GO50" s="193"/>
      <c r="GP50" s="193"/>
      <c r="GQ50" s="193"/>
      <c r="GR50" s="193"/>
      <c r="GS50" s="193"/>
      <c r="GT50" s="193"/>
      <c r="GU50" s="193"/>
      <c r="GV50" s="193"/>
      <c r="GW50" s="193"/>
      <c r="GX50" s="193"/>
      <c r="GY50" s="193"/>
      <c r="GZ50" s="193"/>
      <c r="HA50" s="193"/>
      <c r="HB50" s="193"/>
      <c r="HC50" s="193"/>
      <c r="HD50" s="193"/>
      <c r="HE50" s="193"/>
      <c r="HF50" s="193"/>
      <c r="HG50" s="193"/>
      <c r="HH50" s="193"/>
      <c r="HI50" s="193"/>
      <c r="HJ50" s="193"/>
      <c r="HK50" s="193"/>
      <c r="HL50" s="193"/>
      <c r="HM50" s="193"/>
      <c r="HN50" s="193"/>
      <c r="HO50" s="193"/>
      <c r="HP50" s="193"/>
      <c r="HQ50" s="193"/>
      <c r="HR50" s="193"/>
      <c r="HS50" s="193"/>
      <c r="HT50" s="193"/>
      <c r="HU50" s="193"/>
      <c r="HV50" s="193"/>
      <c r="HW50" s="193"/>
      <c r="HX50" s="193"/>
      <c r="HY50" s="193"/>
      <c r="HZ50" s="193"/>
      <c r="IA50" s="193"/>
      <c r="IB50" s="193"/>
      <c r="IC50" s="193"/>
      <c r="ID50" s="193"/>
      <c r="IE50" s="193"/>
      <c r="IF50" s="193"/>
      <c r="IG50" s="193"/>
      <c r="IH50" s="193"/>
      <c r="II50" s="193"/>
      <c r="IJ50" s="193"/>
      <c r="IK50" s="193"/>
      <c r="IL50" s="193"/>
      <c r="IM50" s="193"/>
      <c r="IN50" s="193"/>
      <c r="IO50" s="193"/>
      <c r="IP50" s="193"/>
      <c r="IQ50" s="193"/>
      <c r="IR50" s="193"/>
      <c r="IS50" s="193"/>
      <c r="IT50" s="193"/>
      <c r="IU50" s="193"/>
      <c r="IV50" s="193"/>
    </row>
    <row r="51" spans="1:256" s="15" customFormat="1" ht="54" x14ac:dyDescent="0.3">
      <c r="A51" s="485"/>
      <c r="B51" s="16" t="s">
        <v>168</v>
      </c>
      <c r="C51" s="455" t="s">
        <v>169</v>
      </c>
      <c r="D51" s="16">
        <v>42675</v>
      </c>
      <c r="E51" s="17" t="s">
        <v>170</v>
      </c>
      <c r="F51" s="480"/>
      <c r="G51" s="489"/>
      <c r="H51" s="315">
        <v>11500000</v>
      </c>
      <c r="I51" s="491"/>
      <c r="J51" s="315">
        <v>-1000000</v>
      </c>
      <c r="K51" s="362">
        <f>11500000-424600-1000000</f>
        <v>10075400</v>
      </c>
      <c r="L51" s="307">
        <v>0</v>
      </c>
      <c r="M51" s="309">
        <f t="shared" si="0"/>
        <v>10075400</v>
      </c>
      <c r="N51" s="291">
        <v>0</v>
      </c>
      <c r="O51" s="291">
        <v>0</v>
      </c>
      <c r="P51" s="309">
        <f t="shared" si="1"/>
        <v>10075400</v>
      </c>
      <c r="R51" s="193"/>
      <c r="S51" s="193"/>
      <c r="T51" s="193"/>
      <c r="U51" s="193"/>
      <c r="V51" s="193"/>
      <c r="W51" s="193"/>
      <c r="X51" s="193"/>
      <c r="Y51" s="193"/>
      <c r="Z51" s="193"/>
      <c r="AA51" s="193"/>
      <c r="AB51" s="193"/>
      <c r="AC51" s="193"/>
      <c r="AD51" s="193"/>
      <c r="AE51" s="193"/>
      <c r="AF51" s="193"/>
      <c r="AG51" s="193"/>
      <c r="AH51" s="193"/>
      <c r="AI51" s="193"/>
      <c r="AJ51" s="193"/>
      <c r="AK51" s="193"/>
      <c r="AL51" s="193"/>
      <c r="AM51" s="193"/>
      <c r="AN51" s="193"/>
      <c r="AO51" s="193"/>
      <c r="AP51" s="193"/>
      <c r="AQ51" s="193"/>
      <c r="AR51" s="193"/>
      <c r="AS51" s="193"/>
      <c r="AT51" s="193"/>
      <c r="AU51" s="193"/>
      <c r="AV51" s="193"/>
      <c r="AW51" s="193"/>
      <c r="AX51" s="193"/>
      <c r="AY51" s="193"/>
      <c r="AZ51" s="193"/>
      <c r="BA51" s="193"/>
      <c r="BB51" s="193"/>
      <c r="BC51" s="193"/>
      <c r="BD51" s="193"/>
      <c r="BE51" s="193"/>
      <c r="BF51" s="193"/>
      <c r="BG51" s="193"/>
      <c r="BH51" s="193"/>
      <c r="BI51" s="193"/>
      <c r="BJ51" s="193"/>
      <c r="BK51" s="193"/>
      <c r="BL51" s="193"/>
      <c r="BM51" s="193"/>
      <c r="BN51" s="193"/>
      <c r="BO51" s="193"/>
      <c r="BP51" s="193"/>
      <c r="BQ51" s="193"/>
      <c r="BR51" s="193"/>
      <c r="BS51" s="193"/>
      <c r="BT51" s="193"/>
      <c r="BU51" s="193"/>
      <c r="BV51" s="193"/>
      <c r="BW51" s="193"/>
      <c r="BX51" s="193"/>
      <c r="BY51" s="193"/>
      <c r="BZ51" s="193"/>
      <c r="CA51" s="193"/>
      <c r="CB51" s="193"/>
      <c r="CC51" s="193"/>
      <c r="CD51" s="193"/>
      <c r="CE51" s="193"/>
      <c r="CF51" s="193"/>
      <c r="CG51" s="193"/>
      <c r="CH51" s="193"/>
      <c r="CI51" s="193"/>
      <c r="CJ51" s="193"/>
      <c r="CK51" s="193"/>
      <c r="CL51" s="193"/>
      <c r="CM51" s="193"/>
      <c r="CN51" s="193"/>
      <c r="CO51" s="193"/>
      <c r="CP51" s="193"/>
      <c r="CQ51" s="193"/>
      <c r="CR51" s="193"/>
      <c r="CS51" s="193"/>
      <c r="CT51" s="193"/>
      <c r="CU51" s="193"/>
      <c r="CV51" s="193"/>
      <c r="CW51" s="193"/>
      <c r="CX51" s="193"/>
      <c r="CY51" s="193"/>
      <c r="CZ51" s="193"/>
      <c r="DA51" s="193"/>
      <c r="DB51" s="193"/>
      <c r="DC51" s="193"/>
      <c r="DD51" s="193"/>
      <c r="DE51" s="193"/>
      <c r="DF51" s="193"/>
      <c r="DG51" s="193"/>
      <c r="DH51" s="193"/>
      <c r="DI51" s="193"/>
      <c r="DJ51" s="193"/>
      <c r="DK51" s="193"/>
      <c r="DL51" s="193"/>
      <c r="DM51" s="193"/>
      <c r="DN51" s="193"/>
      <c r="DO51" s="193"/>
      <c r="DP51" s="193"/>
      <c r="DQ51" s="193"/>
      <c r="DR51" s="193"/>
      <c r="DS51" s="193"/>
      <c r="DT51" s="193"/>
      <c r="DU51" s="193"/>
      <c r="DV51" s="193"/>
      <c r="DW51" s="193"/>
      <c r="DX51" s="193"/>
      <c r="DY51" s="193"/>
      <c r="DZ51" s="193"/>
      <c r="EA51" s="193"/>
      <c r="EB51" s="193"/>
      <c r="EC51" s="193"/>
      <c r="ED51" s="193"/>
      <c r="EE51" s="193"/>
      <c r="EF51" s="193"/>
      <c r="EG51" s="193"/>
      <c r="EH51" s="193"/>
      <c r="EI51" s="193"/>
      <c r="EJ51" s="193"/>
      <c r="EK51" s="193"/>
      <c r="EL51" s="193"/>
      <c r="EM51" s="193"/>
      <c r="EN51" s="193"/>
      <c r="EO51" s="193"/>
      <c r="EP51" s="193"/>
      <c r="EQ51" s="193"/>
      <c r="ER51" s="193"/>
      <c r="ES51" s="193"/>
      <c r="ET51" s="193"/>
      <c r="EU51" s="193"/>
      <c r="EV51" s="193"/>
      <c r="EW51" s="193"/>
      <c r="EX51" s="193"/>
      <c r="EY51" s="193"/>
      <c r="EZ51" s="193"/>
      <c r="FA51" s="193"/>
      <c r="FB51" s="193"/>
      <c r="FC51" s="193"/>
      <c r="FD51" s="193"/>
      <c r="FE51" s="193"/>
      <c r="FF51" s="193"/>
      <c r="FG51" s="193"/>
      <c r="FH51" s="193"/>
      <c r="FI51" s="193"/>
      <c r="FJ51" s="193"/>
      <c r="FK51" s="193"/>
      <c r="FL51" s="193"/>
      <c r="FM51" s="193"/>
      <c r="FN51" s="193"/>
      <c r="FO51" s="193"/>
      <c r="FP51" s="193"/>
      <c r="FQ51" s="193"/>
      <c r="FR51" s="193"/>
      <c r="FS51" s="193"/>
      <c r="FT51" s="193"/>
      <c r="FU51" s="193"/>
      <c r="FV51" s="193"/>
      <c r="FW51" s="193"/>
      <c r="FX51" s="193"/>
      <c r="FY51" s="193"/>
      <c r="FZ51" s="193"/>
      <c r="GA51" s="193"/>
      <c r="GB51" s="193"/>
      <c r="GC51" s="193"/>
      <c r="GD51" s="193"/>
      <c r="GE51" s="193"/>
      <c r="GF51" s="193"/>
      <c r="GG51" s="193"/>
      <c r="GH51" s="193"/>
      <c r="GI51" s="193"/>
      <c r="GJ51" s="193"/>
      <c r="GK51" s="193"/>
      <c r="GL51" s="193"/>
      <c r="GM51" s="193"/>
      <c r="GN51" s="193"/>
      <c r="GO51" s="193"/>
      <c r="GP51" s="193"/>
      <c r="GQ51" s="193"/>
      <c r="GR51" s="193"/>
      <c r="GS51" s="193"/>
      <c r="GT51" s="193"/>
      <c r="GU51" s="193"/>
      <c r="GV51" s="193"/>
      <c r="GW51" s="193"/>
      <c r="GX51" s="193"/>
      <c r="GY51" s="193"/>
      <c r="GZ51" s="193"/>
      <c r="HA51" s="193"/>
      <c r="HB51" s="193"/>
      <c r="HC51" s="193"/>
      <c r="HD51" s="193"/>
      <c r="HE51" s="193"/>
      <c r="HF51" s="193"/>
      <c r="HG51" s="193"/>
      <c r="HH51" s="193"/>
      <c r="HI51" s="193"/>
      <c r="HJ51" s="193"/>
      <c r="HK51" s="193"/>
      <c r="HL51" s="193"/>
      <c r="HM51" s="193"/>
      <c r="HN51" s="193"/>
      <c r="HO51" s="193"/>
      <c r="HP51" s="193"/>
      <c r="HQ51" s="193"/>
      <c r="HR51" s="193"/>
      <c r="HS51" s="193"/>
      <c r="HT51" s="193"/>
      <c r="HU51" s="193"/>
      <c r="HV51" s="193"/>
      <c r="HW51" s="193"/>
      <c r="HX51" s="193"/>
      <c r="HY51" s="193"/>
      <c r="HZ51" s="193"/>
      <c r="IA51" s="193"/>
      <c r="IB51" s="193"/>
      <c r="IC51" s="193"/>
      <c r="ID51" s="193"/>
      <c r="IE51" s="193"/>
      <c r="IF51" s="193"/>
      <c r="IG51" s="193"/>
      <c r="IH51" s="193"/>
      <c r="II51" s="193"/>
      <c r="IJ51" s="193"/>
      <c r="IK51" s="193"/>
      <c r="IL51" s="193"/>
      <c r="IM51" s="193"/>
      <c r="IN51" s="193"/>
      <c r="IO51" s="193"/>
      <c r="IP51" s="193"/>
      <c r="IQ51" s="193"/>
      <c r="IR51" s="193"/>
      <c r="IS51" s="193"/>
      <c r="IT51" s="193"/>
      <c r="IU51" s="193"/>
      <c r="IV51" s="193"/>
    </row>
    <row r="52" spans="1:256" s="15" customFormat="1" ht="162" x14ac:dyDescent="0.3">
      <c r="A52" s="485"/>
      <c r="B52" s="16" t="s">
        <v>171</v>
      </c>
      <c r="C52" s="455" t="s">
        <v>172</v>
      </c>
      <c r="D52" s="16">
        <v>42675</v>
      </c>
      <c r="E52" s="78" t="s">
        <v>173</v>
      </c>
      <c r="F52" s="78" t="s">
        <v>174</v>
      </c>
      <c r="G52" s="487" t="s">
        <v>153</v>
      </c>
      <c r="H52" s="315">
        <v>10000000</v>
      </c>
      <c r="I52" s="491"/>
      <c r="J52" s="315">
        <v>0</v>
      </c>
      <c r="K52" s="362">
        <f>8800000+1200000</f>
        <v>10000000</v>
      </c>
      <c r="L52" s="307">
        <v>9395500</v>
      </c>
      <c r="M52" s="309">
        <f t="shared" si="0"/>
        <v>604500</v>
      </c>
      <c r="N52" s="291">
        <v>0</v>
      </c>
      <c r="O52" s="291">
        <v>0</v>
      </c>
      <c r="P52" s="309">
        <f t="shared" si="1"/>
        <v>604500</v>
      </c>
      <c r="R52" s="193"/>
      <c r="S52" s="193"/>
      <c r="T52" s="193"/>
      <c r="U52" s="193"/>
      <c r="V52" s="193"/>
      <c r="W52" s="193"/>
      <c r="X52" s="193"/>
      <c r="Y52" s="193"/>
      <c r="Z52" s="193"/>
      <c r="AA52" s="193"/>
      <c r="AB52" s="193"/>
      <c r="AC52" s="193"/>
      <c r="AD52" s="193"/>
      <c r="AE52" s="193"/>
      <c r="AF52" s="193"/>
      <c r="AG52" s="193"/>
      <c r="AH52" s="193"/>
      <c r="AI52" s="193"/>
      <c r="AJ52" s="193"/>
      <c r="AK52" s="193"/>
      <c r="AL52" s="193"/>
      <c r="AM52" s="193"/>
      <c r="AN52" s="193"/>
      <c r="AO52" s="193"/>
      <c r="AP52" s="193"/>
      <c r="AQ52" s="193"/>
      <c r="AR52" s="193"/>
      <c r="AS52" s="193"/>
      <c r="AT52" s="193"/>
      <c r="AU52" s="193"/>
      <c r="AV52" s="193"/>
      <c r="AW52" s="193"/>
      <c r="AX52" s="193"/>
      <c r="AY52" s="193"/>
      <c r="AZ52" s="193"/>
      <c r="BA52" s="193"/>
      <c r="BB52" s="193"/>
      <c r="BC52" s="193"/>
      <c r="BD52" s="193"/>
      <c r="BE52" s="193"/>
      <c r="BF52" s="193"/>
      <c r="BG52" s="193"/>
      <c r="BH52" s="193"/>
      <c r="BI52" s="193"/>
      <c r="BJ52" s="193"/>
      <c r="BK52" s="193"/>
      <c r="BL52" s="193"/>
      <c r="BM52" s="193"/>
      <c r="BN52" s="193"/>
      <c r="BO52" s="193"/>
      <c r="BP52" s="193"/>
      <c r="BQ52" s="193"/>
      <c r="BR52" s="193"/>
      <c r="BS52" s="193"/>
      <c r="BT52" s="193"/>
      <c r="BU52" s="193"/>
      <c r="BV52" s="193"/>
      <c r="BW52" s="193"/>
      <c r="BX52" s="193"/>
      <c r="BY52" s="193"/>
      <c r="BZ52" s="193"/>
      <c r="CA52" s="193"/>
      <c r="CB52" s="193"/>
      <c r="CC52" s="193"/>
      <c r="CD52" s="193"/>
      <c r="CE52" s="193"/>
      <c r="CF52" s="193"/>
      <c r="CG52" s="193"/>
      <c r="CH52" s="193"/>
      <c r="CI52" s="193"/>
      <c r="CJ52" s="193"/>
      <c r="CK52" s="193"/>
      <c r="CL52" s="193"/>
      <c r="CM52" s="193"/>
      <c r="CN52" s="193"/>
      <c r="CO52" s="193"/>
      <c r="CP52" s="193"/>
      <c r="CQ52" s="193"/>
      <c r="CR52" s="193"/>
      <c r="CS52" s="193"/>
      <c r="CT52" s="193"/>
      <c r="CU52" s="193"/>
      <c r="CV52" s="193"/>
      <c r="CW52" s="193"/>
      <c r="CX52" s="193"/>
      <c r="CY52" s="193"/>
      <c r="CZ52" s="193"/>
      <c r="DA52" s="193"/>
      <c r="DB52" s="193"/>
      <c r="DC52" s="193"/>
      <c r="DD52" s="193"/>
      <c r="DE52" s="193"/>
      <c r="DF52" s="193"/>
      <c r="DG52" s="193"/>
      <c r="DH52" s="193"/>
      <c r="DI52" s="193"/>
      <c r="DJ52" s="193"/>
      <c r="DK52" s="193"/>
      <c r="DL52" s="193"/>
      <c r="DM52" s="193"/>
      <c r="DN52" s="193"/>
      <c r="DO52" s="193"/>
      <c r="DP52" s="193"/>
      <c r="DQ52" s="193"/>
      <c r="DR52" s="193"/>
      <c r="DS52" s="193"/>
      <c r="DT52" s="193"/>
      <c r="DU52" s="193"/>
      <c r="DV52" s="193"/>
      <c r="DW52" s="193"/>
      <c r="DX52" s="193"/>
      <c r="DY52" s="193"/>
      <c r="DZ52" s="193"/>
      <c r="EA52" s="193"/>
      <c r="EB52" s="193"/>
      <c r="EC52" s="193"/>
      <c r="ED52" s="193"/>
      <c r="EE52" s="193"/>
      <c r="EF52" s="193"/>
      <c r="EG52" s="193"/>
      <c r="EH52" s="193"/>
      <c r="EI52" s="193"/>
      <c r="EJ52" s="193"/>
      <c r="EK52" s="193"/>
      <c r="EL52" s="193"/>
      <c r="EM52" s="193"/>
      <c r="EN52" s="193"/>
      <c r="EO52" s="193"/>
      <c r="EP52" s="193"/>
      <c r="EQ52" s="193"/>
      <c r="ER52" s="193"/>
      <c r="ES52" s="193"/>
      <c r="ET52" s="193"/>
      <c r="EU52" s="193"/>
      <c r="EV52" s="193"/>
      <c r="EW52" s="193"/>
      <c r="EX52" s="193"/>
      <c r="EY52" s="193"/>
      <c r="EZ52" s="193"/>
      <c r="FA52" s="193"/>
      <c r="FB52" s="193"/>
      <c r="FC52" s="193"/>
      <c r="FD52" s="193"/>
      <c r="FE52" s="193"/>
      <c r="FF52" s="193"/>
      <c r="FG52" s="193"/>
      <c r="FH52" s="193"/>
      <c r="FI52" s="193"/>
      <c r="FJ52" s="193"/>
      <c r="FK52" s="193"/>
      <c r="FL52" s="193"/>
      <c r="FM52" s="193"/>
      <c r="FN52" s="193"/>
      <c r="FO52" s="193"/>
      <c r="FP52" s="193"/>
      <c r="FQ52" s="193"/>
      <c r="FR52" s="193"/>
      <c r="FS52" s="193"/>
      <c r="FT52" s="193"/>
      <c r="FU52" s="193"/>
      <c r="FV52" s="193"/>
      <c r="FW52" s="193"/>
      <c r="FX52" s="193"/>
      <c r="FY52" s="193"/>
      <c r="FZ52" s="193"/>
      <c r="GA52" s="193"/>
      <c r="GB52" s="193"/>
      <c r="GC52" s="193"/>
      <c r="GD52" s="193"/>
      <c r="GE52" s="193"/>
      <c r="GF52" s="193"/>
      <c r="GG52" s="193"/>
      <c r="GH52" s="193"/>
      <c r="GI52" s="193"/>
      <c r="GJ52" s="193"/>
      <c r="GK52" s="193"/>
      <c r="GL52" s="193"/>
      <c r="GM52" s="193"/>
      <c r="GN52" s="193"/>
      <c r="GO52" s="193"/>
      <c r="GP52" s="193"/>
      <c r="GQ52" s="193"/>
      <c r="GR52" s="193"/>
      <c r="GS52" s="193"/>
      <c r="GT52" s="193"/>
      <c r="GU52" s="193"/>
      <c r="GV52" s="193"/>
      <c r="GW52" s="193"/>
      <c r="GX52" s="193"/>
      <c r="GY52" s="193"/>
      <c r="GZ52" s="193"/>
      <c r="HA52" s="193"/>
      <c r="HB52" s="193"/>
      <c r="HC52" s="193"/>
      <c r="HD52" s="193"/>
      <c r="HE52" s="193"/>
      <c r="HF52" s="193"/>
      <c r="HG52" s="193"/>
      <c r="HH52" s="193"/>
      <c r="HI52" s="193"/>
      <c r="HJ52" s="193"/>
      <c r="HK52" s="193"/>
      <c r="HL52" s="193"/>
      <c r="HM52" s="193"/>
      <c r="HN52" s="193"/>
      <c r="HO52" s="193"/>
      <c r="HP52" s="193"/>
      <c r="HQ52" s="193"/>
      <c r="HR52" s="193"/>
      <c r="HS52" s="193"/>
      <c r="HT52" s="193"/>
      <c r="HU52" s="193"/>
      <c r="HV52" s="193"/>
      <c r="HW52" s="193"/>
      <c r="HX52" s="193"/>
      <c r="HY52" s="193"/>
      <c r="HZ52" s="193"/>
      <c r="IA52" s="193"/>
      <c r="IB52" s="193"/>
      <c r="IC52" s="193"/>
      <c r="ID52" s="193"/>
      <c r="IE52" s="193"/>
      <c r="IF52" s="193"/>
      <c r="IG52" s="193"/>
      <c r="IH52" s="193"/>
      <c r="II52" s="193"/>
      <c r="IJ52" s="193"/>
      <c r="IK52" s="193"/>
      <c r="IL52" s="193"/>
      <c r="IM52" s="193"/>
      <c r="IN52" s="193"/>
      <c r="IO52" s="193"/>
      <c r="IP52" s="193"/>
      <c r="IQ52" s="193"/>
      <c r="IR52" s="193"/>
      <c r="IS52" s="193"/>
      <c r="IT52" s="193"/>
      <c r="IU52" s="193"/>
      <c r="IV52" s="193"/>
    </row>
    <row r="53" spans="1:256" s="15" customFormat="1" ht="90" x14ac:dyDescent="0.3">
      <c r="A53" s="485"/>
      <c r="B53" s="16" t="s">
        <v>175</v>
      </c>
      <c r="C53" s="455" t="s">
        <v>176</v>
      </c>
      <c r="D53" s="16">
        <v>42675</v>
      </c>
      <c r="E53" s="17" t="s">
        <v>177</v>
      </c>
      <c r="F53" s="17" t="s">
        <v>178</v>
      </c>
      <c r="G53" s="488"/>
      <c r="H53" s="315">
        <v>300000</v>
      </c>
      <c r="I53" s="491"/>
      <c r="J53" s="315">
        <v>0</v>
      </c>
      <c r="K53" s="362">
        <v>300000</v>
      </c>
      <c r="L53" s="307">
        <v>285000</v>
      </c>
      <c r="M53" s="309">
        <f t="shared" si="0"/>
        <v>15000</v>
      </c>
      <c r="N53" s="291">
        <v>-15000</v>
      </c>
      <c r="O53" s="291">
        <v>0</v>
      </c>
      <c r="P53" s="309">
        <f t="shared" si="1"/>
        <v>0</v>
      </c>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3"/>
      <c r="AS53" s="193"/>
      <c r="AT53" s="193"/>
      <c r="AU53" s="193"/>
      <c r="AV53" s="193"/>
      <c r="AW53" s="193"/>
      <c r="AX53" s="193"/>
      <c r="AY53" s="193"/>
      <c r="AZ53" s="193"/>
      <c r="BA53" s="193"/>
      <c r="BB53" s="193"/>
      <c r="BC53" s="193"/>
      <c r="BD53" s="193"/>
      <c r="BE53" s="193"/>
      <c r="BF53" s="193"/>
      <c r="BG53" s="193"/>
      <c r="BH53" s="193"/>
      <c r="BI53" s="193"/>
      <c r="BJ53" s="193"/>
      <c r="BK53" s="193"/>
      <c r="BL53" s="193"/>
      <c r="BM53" s="193"/>
      <c r="BN53" s="193"/>
      <c r="BO53" s="193"/>
      <c r="BP53" s="193"/>
      <c r="BQ53" s="193"/>
      <c r="BR53" s="193"/>
      <c r="BS53" s="193"/>
      <c r="BT53" s="193"/>
      <c r="BU53" s="193"/>
      <c r="BV53" s="193"/>
      <c r="BW53" s="193"/>
      <c r="BX53" s="193"/>
      <c r="BY53" s="193"/>
      <c r="BZ53" s="193"/>
      <c r="CA53" s="193"/>
      <c r="CB53" s="193"/>
      <c r="CC53" s="193"/>
      <c r="CD53" s="193"/>
      <c r="CE53" s="193"/>
      <c r="CF53" s="193"/>
      <c r="CG53" s="193"/>
      <c r="CH53" s="193"/>
      <c r="CI53" s="193"/>
      <c r="CJ53" s="193"/>
      <c r="CK53" s="193"/>
      <c r="CL53" s="193"/>
      <c r="CM53" s="193"/>
      <c r="CN53" s="193"/>
      <c r="CO53" s="193"/>
      <c r="CP53" s="193"/>
      <c r="CQ53" s="193"/>
      <c r="CR53" s="193"/>
      <c r="CS53" s="193"/>
      <c r="CT53" s="193"/>
      <c r="CU53" s="193"/>
      <c r="CV53" s="193"/>
      <c r="CW53" s="193"/>
      <c r="CX53" s="193"/>
      <c r="CY53" s="193"/>
      <c r="CZ53" s="193"/>
      <c r="DA53" s="193"/>
      <c r="DB53" s="193"/>
      <c r="DC53" s="193"/>
      <c r="DD53" s="193"/>
      <c r="DE53" s="193"/>
      <c r="DF53" s="193"/>
      <c r="DG53" s="193"/>
      <c r="DH53" s="193"/>
      <c r="DI53" s="193"/>
      <c r="DJ53" s="193"/>
      <c r="DK53" s="193"/>
      <c r="DL53" s="193"/>
      <c r="DM53" s="193"/>
      <c r="DN53" s="193"/>
      <c r="DO53" s="193"/>
      <c r="DP53" s="193"/>
      <c r="DQ53" s="193"/>
      <c r="DR53" s="193"/>
      <c r="DS53" s="193"/>
      <c r="DT53" s="193"/>
      <c r="DU53" s="193"/>
      <c r="DV53" s="193"/>
      <c r="DW53" s="193"/>
      <c r="DX53" s="193"/>
      <c r="DY53" s="193"/>
      <c r="DZ53" s="193"/>
      <c r="EA53" s="193"/>
      <c r="EB53" s="193"/>
      <c r="EC53" s="193"/>
      <c r="ED53" s="193"/>
      <c r="EE53" s="193"/>
      <c r="EF53" s="193"/>
      <c r="EG53" s="193"/>
      <c r="EH53" s="193"/>
      <c r="EI53" s="193"/>
      <c r="EJ53" s="193"/>
      <c r="EK53" s="193"/>
      <c r="EL53" s="193"/>
      <c r="EM53" s="193"/>
      <c r="EN53" s="193"/>
      <c r="EO53" s="193"/>
      <c r="EP53" s="193"/>
      <c r="EQ53" s="193"/>
      <c r="ER53" s="193"/>
      <c r="ES53" s="193"/>
      <c r="ET53" s="193"/>
      <c r="EU53" s="193"/>
      <c r="EV53" s="193"/>
      <c r="EW53" s="193"/>
      <c r="EX53" s="193"/>
      <c r="EY53" s="193"/>
      <c r="EZ53" s="193"/>
      <c r="FA53" s="193"/>
      <c r="FB53" s="193"/>
      <c r="FC53" s="193"/>
      <c r="FD53" s="193"/>
      <c r="FE53" s="193"/>
      <c r="FF53" s="193"/>
      <c r="FG53" s="193"/>
      <c r="FH53" s="193"/>
      <c r="FI53" s="193"/>
      <c r="FJ53" s="193"/>
      <c r="FK53" s="193"/>
      <c r="FL53" s="193"/>
      <c r="FM53" s="193"/>
      <c r="FN53" s="193"/>
      <c r="FO53" s="193"/>
      <c r="FP53" s="193"/>
      <c r="FQ53" s="193"/>
      <c r="FR53" s="193"/>
      <c r="FS53" s="193"/>
      <c r="FT53" s="193"/>
      <c r="FU53" s="193"/>
      <c r="FV53" s="193"/>
      <c r="FW53" s="193"/>
      <c r="FX53" s="193"/>
      <c r="FY53" s="193"/>
      <c r="FZ53" s="193"/>
      <c r="GA53" s="193"/>
      <c r="GB53" s="193"/>
      <c r="GC53" s="193"/>
      <c r="GD53" s="193"/>
      <c r="GE53" s="193"/>
      <c r="GF53" s="193"/>
      <c r="GG53" s="193"/>
      <c r="GH53" s="193"/>
      <c r="GI53" s="193"/>
      <c r="GJ53" s="193"/>
      <c r="GK53" s="193"/>
      <c r="GL53" s="193"/>
      <c r="GM53" s="193"/>
      <c r="GN53" s="193"/>
      <c r="GO53" s="193"/>
      <c r="GP53" s="193"/>
      <c r="GQ53" s="193"/>
      <c r="GR53" s="193"/>
      <c r="GS53" s="193"/>
      <c r="GT53" s="193"/>
      <c r="GU53" s="193"/>
      <c r="GV53" s="193"/>
      <c r="GW53" s="193"/>
      <c r="GX53" s="193"/>
      <c r="GY53" s="193"/>
      <c r="GZ53" s="193"/>
      <c r="HA53" s="193"/>
      <c r="HB53" s="193"/>
      <c r="HC53" s="193"/>
      <c r="HD53" s="193"/>
      <c r="HE53" s="193"/>
      <c r="HF53" s="193"/>
      <c r="HG53" s="193"/>
      <c r="HH53" s="193"/>
      <c r="HI53" s="193"/>
      <c r="HJ53" s="193"/>
      <c r="HK53" s="193"/>
      <c r="HL53" s="193"/>
      <c r="HM53" s="193"/>
      <c r="HN53" s="193"/>
      <c r="HO53" s="193"/>
      <c r="HP53" s="193"/>
      <c r="HQ53" s="193"/>
      <c r="HR53" s="193"/>
      <c r="HS53" s="193"/>
      <c r="HT53" s="193"/>
      <c r="HU53" s="193"/>
      <c r="HV53" s="193"/>
      <c r="HW53" s="193"/>
      <c r="HX53" s="193"/>
      <c r="HY53" s="193"/>
      <c r="HZ53" s="193"/>
      <c r="IA53" s="193"/>
      <c r="IB53" s="193"/>
      <c r="IC53" s="193"/>
      <c r="ID53" s="193"/>
      <c r="IE53" s="193"/>
      <c r="IF53" s="193"/>
      <c r="IG53" s="193"/>
      <c r="IH53" s="193"/>
      <c r="II53" s="193"/>
      <c r="IJ53" s="193"/>
      <c r="IK53" s="193"/>
      <c r="IL53" s="193"/>
      <c r="IM53" s="193"/>
      <c r="IN53" s="193"/>
      <c r="IO53" s="193"/>
      <c r="IP53" s="193"/>
      <c r="IQ53" s="193"/>
      <c r="IR53" s="193"/>
      <c r="IS53" s="193"/>
      <c r="IT53" s="193"/>
      <c r="IU53" s="193"/>
      <c r="IV53" s="193"/>
    </row>
    <row r="54" spans="1:256" s="15" customFormat="1" ht="54" x14ac:dyDescent="0.3">
      <c r="A54" s="485"/>
      <c r="B54" s="16" t="s">
        <v>179</v>
      </c>
      <c r="C54" s="455" t="s">
        <v>180</v>
      </c>
      <c r="D54" s="16">
        <v>42675</v>
      </c>
      <c r="E54" s="17" t="s">
        <v>181</v>
      </c>
      <c r="F54" s="17" t="s">
        <v>153</v>
      </c>
      <c r="G54" s="488"/>
      <c r="H54" s="315">
        <v>1420900</v>
      </c>
      <c r="I54" s="491"/>
      <c r="J54" s="315">
        <f>K54-H54</f>
        <v>79100</v>
      </c>
      <c r="K54" s="362">
        <v>1500000</v>
      </c>
      <c r="L54" s="307">
        <v>0</v>
      </c>
      <c r="M54" s="309">
        <f t="shared" si="0"/>
        <v>1500000</v>
      </c>
      <c r="N54" s="291">
        <v>0</v>
      </c>
      <c r="O54" s="291">
        <v>0</v>
      </c>
      <c r="P54" s="309">
        <f>SUM(M54:O54)</f>
        <v>1500000</v>
      </c>
      <c r="R54" s="193"/>
      <c r="S54" s="193"/>
      <c r="T54" s="193"/>
      <c r="U54" s="193"/>
      <c r="V54" s="193"/>
      <c r="W54" s="193"/>
      <c r="X54" s="193"/>
      <c r="Y54" s="193"/>
      <c r="Z54" s="193"/>
      <c r="AA54" s="193"/>
      <c r="AB54" s="193"/>
      <c r="AC54" s="193"/>
      <c r="AD54" s="193"/>
      <c r="AE54" s="193"/>
      <c r="AF54" s="193"/>
      <c r="AG54" s="193"/>
      <c r="AH54" s="193"/>
      <c r="AI54" s="193"/>
      <c r="AJ54" s="193"/>
      <c r="AK54" s="193"/>
      <c r="AL54" s="193"/>
      <c r="AM54" s="193"/>
      <c r="AN54" s="193"/>
      <c r="AO54" s="193"/>
      <c r="AP54" s="193"/>
      <c r="AQ54" s="193"/>
      <c r="AR54" s="193"/>
      <c r="AS54" s="193"/>
      <c r="AT54" s="193"/>
      <c r="AU54" s="193"/>
      <c r="AV54" s="193"/>
      <c r="AW54" s="193"/>
      <c r="AX54" s="193"/>
      <c r="AY54" s="193"/>
      <c r="AZ54" s="193"/>
      <c r="BA54" s="193"/>
      <c r="BB54" s="193"/>
      <c r="BC54" s="193"/>
      <c r="BD54" s="193"/>
      <c r="BE54" s="193"/>
      <c r="BF54" s="193"/>
      <c r="BG54" s="193"/>
      <c r="BH54" s="193"/>
      <c r="BI54" s="193"/>
      <c r="BJ54" s="193"/>
      <c r="BK54" s="193"/>
      <c r="BL54" s="193"/>
      <c r="BM54" s="193"/>
      <c r="BN54" s="193"/>
      <c r="BO54" s="193"/>
      <c r="BP54" s="193"/>
      <c r="BQ54" s="193"/>
      <c r="BR54" s="193"/>
      <c r="BS54" s="193"/>
      <c r="BT54" s="193"/>
      <c r="BU54" s="193"/>
      <c r="BV54" s="193"/>
      <c r="BW54" s="193"/>
      <c r="BX54" s="193"/>
      <c r="BY54" s="193"/>
      <c r="BZ54" s="193"/>
      <c r="CA54" s="193"/>
      <c r="CB54" s="193"/>
      <c r="CC54" s="193"/>
      <c r="CD54" s="193"/>
      <c r="CE54" s="193"/>
      <c r="CF54" s="193"/>
      <c r="CG54" s="193"/>
      <c r="CH54" s="193"/>
      <c r="CI54" s="193"/>
      <c r="CJ54" s="193"/>
      <c r="CK54" s="193"/>
      <c r="CL54" s="193"/>
      <c r="CM54" s="193"/>
      <c r="CN54" s="193"/>
      <c r="CO54" s="193"/>
      <c r="CP54" s="193"/>
      <c r="CQ54" s="193"/>
      <c r="CR54" s="193"/>
      <c r="CS54" s="193"/>
      <c r="CT54" s="193"/>
      <c r="CU54" s="193"/>
      <c r="CV54" s="193"/>
      <c r="CW54" s="193"/>
      <c r="CX54" s="193"/>
      <c r="CY54" s="193"/>
      <c r="CZ54" s="193"/>
      <c r="DA54" s="193"/>
      <c r="DB54" s="193"/>
      <c r="DC54" s="193"/>
      <c r="DD54" s="193"/>
      <c r="DE54" s="193"/>
      <c r="DF54" s="193"/>
      <c r="DG54" s="193"/>
      <c r="DH54" s="193"/>
      <c r="DI54" s="193"/>
      <c r="DJ54" s="193"/>
      <c r="DK54" s="193"/>
      <c r="DL54" s="193"/>
      <c r="DM54" s="193"/>
      <c r="DN54" s="193"/>
      <c r="DO54" s="193"/>
      <c r="DP54" s="193"/>
      <c r="DQ54" s="193"/>
      <c r="DR54" s="193"/>
      <c r="DS54" s="193"/>
      <c r="DT54" s="193"/>
      <c r="DU54" s="193"/>
      <c r="DV54" s="193"/>
      <c r="DW54" s="193"/>
      <c r="DX54" s="193"/>
      <c r="DY54" s="193"/>
      <c r="DZ54" s="193"/>
      <c r="EA54" s="193"/>
      <c r="EB54" s="193"/>
      <c r="EC54" s="193"/>
      <c r="ED54" s="193"/>
      <c r="EE54" s="193"/>
      <c r="EF54" s="193"/>
      <c r="EG54" s="193"/>
      <c r="EH54" s="193"/>
      <c r="EI54" s="193"/>
      <c r="EJ54" s="193"/>
      <c r="EK54" s="193"/>
      <c r="EL54" s="193"/>
      <c r="EM54" s="193"/>
      <c r="EN54" s="193"/>
      <c r="EO54" s="193"/>
      <c r="EP54" s="193"/>
      <c r="EQ54" s="193"/>
      <c r="ER54" s="193"/>
      <c r="ES54" s="193"/>
      <c r="ET54" s="193"/>
      <c r="EU54" s="193"/>
      <c r="EV54" s="193"/>
      <c r="EW54" s="193"/>
      <c r="EX54" s="193"/>
      <c r="EY54" s="193"/>
      <c r="EZ54" s="193"/>
      <c r="FA54" s="193"/>
      <c r="FB54" s="193"/>
      <c r="FC54" s="193"/>
      <c r="FD54" s="193"/>
      <c r="FE54" s="193"/>
      <c r="FF54" s="193"/>
      <c r="FG54" s="193"/>
      <c r="FH54" s="193"/>
      <c r="FI54" s="193"/>
      <c r="FJ54" s="193"/>
      <c r="FK54" s="193"/>
      <c r="FL54" s="193"/>
      <c r="FM54" s="193"/>
      <c r="FN54" s="193"/>
      <c r="FO54" s="193"/>
      <c r="FP54" s="193"/>
      <c r="FQ54" s="193"/>
      <c r="FR54" s="193"/>
      <c r="FS54" s="193"/>
      <c r="FT54" s="193"/>
      <c r="FU54" s="193"/>
      <c r="FV54" s="193"/>
      <c r="FW54" s="193"/>
      <c r="FX54" s="193"/>
      <c r="FY54" s="193"/>
      <c r="FZ54" s="193"/>
      <c r="GA54" s="193"/>
      <c r="GB54" s="193"/>
      <c r="GC54" s="193"/>
      <c r="GD54" s="193"/>
      <c r="GE54" s="193"/>
      <c r="GF54" s="193"/>
      <c r="GG54" s="193"/>
      <c r="GH54" s="193"/>
      <c r="GI54" s="193"/>
      <c r="GJ54" s="193"/>
      <c r="GK54" s="193"/>
      <c r="GL54" s="193"/>
      <c r="GM54" s="193"/>
      <c r="GN54" s="193"/>
      <c r="GO54" s="193"/>
      <c r="GP54" s="193"/>
      <c r="GQ54" s="193"/>
      <c r="GR54" s="193"/>
      <c r="GS54" s="193"/>
      <c r="GT54" s="193"/>
      <c r="GU54" s="193"/>
      <c r="GV54" s="193"/>
      <c r="GW54" s="193"/>
      <c r="GX54" s="193"/>
      <c r="GY54" s="193"/>
      <c r="GZ54" s="193"/>
      <c r="HA54" s="193"/>
      <c r="HB54" s="193"/>
      <c r="HC54" s="193"/>
      <c r="HD54" s="193"/>
      <c r="HE54" s="193"/>
      <c r="HF54" s="193"/>
      <c r="HG54" s="193"/>
      <c r="HH54" s="193"/>
      <c r="HI54" s="193"/>
      <c r="HJ54" s="193"/>
      <c r="HK54" s="193"/>
      <c r="HL54" s="193"/>
      <c r="HM54" s="193"/>
      <c r="HN54" s="193"/>
      <c r="HO54" s="193"/>
      <c r="HP54" s="193"/>
      <c r="HQ54" s="193"/>
      <c r="HR54" s="193"/>
      <c r="HS54" s="193"/>
      <c r="HT54" s="193"/>
      <c r="HU54" s="193"/>
      <c r="HV54" s="193"/>
      <c r="HW54" s="193"/>
      <c r="HX54" s="193"/>
      <c r="HY54" s="193"/>
      <c r="HZ54" s="193"/>
      <c r="IA54" s="193"/>
      <c r="IB54" s="193"/>
      <c r="IC54" s="193"/>
      <c r="ID54" s="193"/>
      <c r="IE54" s="193"/>
      <c r="IF54" s="193"/>
      <c r="IG54" s="193"/>
      <c r="IH54" s="193"/>
      <c r="II54" s="193"/>
      <c r="IJ54" s="193"/>
      <c r="IK54" s="193"/>
      <c r="IL54" s="193"/>
      <c r="IM54" s="193"/>
      <c r="IN54" s="193"/>
      <c r="IO54" s="193"/>
      <c r="IP54" s="193"/>
      <c r="IQ54" s="193"/>
      <c r="IR54" s="193"/>
      <c r="IS54" s="193"/>
      <c r="IT54" s="193"/>
      <c r="IU54" s="193"/>
      <c r="IV54" s="193"/>
    </row>
    <row r="55" spans="1:256" s="15" customFormat="1" ht="54" x14ac:dyDescent="0.3">
      <c r="A55" s="485"/>
      <c r="B55" s="16" t="s">
        <v>182</v>
      </c>
      <c r="C55" s="455" t="s">
        <v>183</v>
      </c>
      <c r="D55" s="16">
        <v>42705</v>
      </c>
      <c r="E55" s="17" t="s">
        <v>184</v>
      </c>
      <c r="F55" s="17" t="s">
        <v>185</v>
      </c>
      <c r="G55" s="488"/>
      <c r="H55" s="315">
        <v>0</v>
      </c>
      <c r="I55" s="491"/>
      <c r="J55" s="315">
        <v>2000000</v>
      </c>
      <c r="K55" s="362">
        <v>2000000</v>
      </c>
      <c r="L55" s="307">
        <v>0</v>
      </c>
      <c r="M55" s="309">
        <f t="shared" si="0"/>
        <v>2000000</v>
      </c>
      <c r="N55" s="291">
        <v>0</v>
      </c>
      <c r="O55" s="291">
        <v>0</v>
      </c>
      <c r="P55" s="309">
        <f t="shared" si="1"/>
        <v>2000000</v>
      </c>
      <c r="R55" s="193"/>
      <c r="S55" s="193"/>
      <c r="T55" s="193"/>
      <c r="U55" s="193"/>
      <c r="V55" s="193"/>
      <c r="W55" s="193"/>
      <c r="X55" s="193"/>
      <c r="Y55" s="193"/>
      <c r="Z55" s="193"/>
      <c r="AA55" s="193"/>
      <c r="AB55" s="193"/>
      <c r="AC55" s="193"/>
      <c r="AD55" s="193"/>
      <c r="AE55" s="193"/>
      <c r="AF55" s="193"/>
      <c r="AG55" s="193"/>
      <c r="AH55" s="193"/>
      <c r="AI55" s="193"/>
      <c r="AJ55" s="193"/>
      <c r="AK55" s="193"/>
      <c r="AL55" s="193"/>
      <c r="AM55" s="193"/>
      <c r="AN55" s="193"/>
      <c r="AO55" s="193"/>
      <c r="AP55" s="193"/>
      <c r="AQ55" s="193"/>
      <c r="AR55" s="193"/>
      <c r="AS55" s="193"/>
      <c r="AT55" s="193"/>
      <c r="AU55" s="193"/>
      <c r="AV55" s="193"/>
      <c r="AW55" s="193"/>
      <c r="AX55" s="193"/>
      <c r="AY55" s="193"/>
      <c r="AZ55" s="193"/>
      <c r="BA55" s="193"/>
      <c r="BB55" s="193"/>
      <c r="BC55" s="193"/>
      <c r="BD55" s="193"/>
      <c r="BE55" s="193"/>
      <c r="BF55" s="193"/>
      <c r="BG55" s="193"/>
      <c r="BH55" s="193"/>
      <c r="BI55" s="193"/>
      <c r="BJ55" s="193"/>
      <c r="BK55" s="193"/>
      <c r="BL55" s="193"/>
      <c r="BM55" s="193"/>
      <c r="BN55" s="193"/>
      <c r="BO55" s="193"/>
      <c r="BP55" s="193"/>
      <c r="BQ55" s="193"/>
      <c r="BR55" s="193"/>
      <c r="BS55" s="193"/>
      <c r="BT55" s="193"/>
      <c r="BU55" s="193"/>
      <c r="BV55" s="193"/>
      <c r="BW55" s="193"/>
      <c r="BX55" s="193"/>
      <c r="BY55" s="193"/>
      <c r="BZ55" s="193"/>
      <c r="CA55" s="193"/>
      <c r="CB55" s="193"/>
      <c r="CC55" s="193"/>
      <c r="CD55" s="193"/>
      <c r="CE55" s="193"/>
      <c r="CF55" s="193"/>
      <c r="CG55" s="193"/>
      <c r="CH55" s="193"/>
      <c r="CI55" s="193"/>
      <c r="CJ55" s="193"/>
      <c r="CK55" s="193"/>
      <c r="CL55" s="193"/>
      <c r="CM55" s="193"/>
      <c r="CN55" s="193"/>
      <c r="CO55" s="193"/>
      <c r="CP55" s="193"/>
      <c r="CQ55" s="193"/>
      <c r="CR55" s="193"/>
      <c r="CS55" s="193"/>
      <c r="CT55" s="193"/>
      <c r="CU55" s="193"/>
      <c r="CV55" s="193"/>
      <c r="CW55" s="193"/>
      <c r="CX55" s="193"/>
      <c r="CY55" s="193"/>
      <c r="CZ55" s="193"/>
      <c r="DA55" s="193"/>
      <c r="DB55" s="193"/>
      <c r="DC55" s="193"/>
      <c r="DD55" s="193"/>
      <c r="DE55" s="193"/>
      <c r="DF55" s="193"/>
      <c r="DG55" s="193"/>
      <c r="DH55" s="193"/>
      <c r="DI55" s="193"/>
      <c r="DJ55" s="193"/>
      <c r="DK55" s="193"/>
      <c r="DL55" s="193"/>
      <c r="DM55" s="193"/>
      <c r="DN55" s="193"/>
      <c r="DO55" s="193"/>
      <c r="DP55" s="193"/>
      <c r="DQ55" s="193"/>
      <c r="DR55" s="193"/>
      <c r="DS55" s="193"/>
      <c r="DT55" s="193"/>
      <c r="DU55" s="193"/>
      <c r="DV55" s="193"/>
      <c r="DW55" s="193"/>
      <c r="DX55" s="193"/>
      <c r="DY55" s="193"/>
      <c r="DZ55" s="193"/>
      <c r="EA55" s="193"/>
      <c r="EB55" s="193"/>
      <c r="EC55" s="193"/>
      <c r="ED55" s="193"/>
      <c r="EE55" s="193"/>
      <c r="EF55" s="193"/>
      <c r="EG55" s="193"/>
      <c r="EH55" s="193"/>
      <c r="EI55" s="193"/>
      <c r="EJ55" s="193"/>
      <c r="EK55" s="193"/>
      <c r="EL55" s="193"/>
      <c r="EM55" s="193"/>
      <c r="EN55" s="193"/>
      <c r="EO55" s="193"/>
      <c r="EP55" s="193"/>
      <c r="EQ55" s="193"/>
      <c r="ER55" s="193"/>
      <c r="ES55" s="193"/>
      <c r="ET55" s="193"/>
      <c r="EU55" s="193"/>
      <c r="EV55" s="193"/>
      <c r="EW55" s="193"/>
      <c r="EX55" s="193"/>
      <c r="EY55" s="193"/>
      <c r="EZ55" s="193"/>
      <c r="FA55" s="193"/>
      <c r="FB55" s="193"/>
      <c r="FC55" s="193"/>
      <c r="FD55" s="193"/>
      <c r="FE55" s="193"/>
      <c r="FF55" s="193"/>
      <c r="FG55" s="193"/>
      <c r="FH55" s="193"/>
      <c r="FI55" s="193"/>
      <c r="FJ55" s="193"/>
      <c r="FK55" s="193"/>
      <c r="FL55" s="193"/>
      <c r="FM55" s="193"/>
      <c r="FN55" s="193"/>
      <c r="FO55" s="193"/>
      <c r="FP55" s="193"/>
      <c r="FQ55" s="193"/>
      <c r="FR55" s="193"/>
      <c r="FS55" s="193"/>
      <c r="FT55" s="193"/>
      <c r="FU55" s="193"/>
      <c r="FV55" s="193"/>
      <c r="FW55" s="193"/>
      <c r="FX55" s="193"/>
      <c r="FY55" s="193"/>
      <c r="FZ55" s="193"/>
      <c r="GA55" s="193"/>
      <c r="GB55" s="193"/>
      <c r="GC55" s="193"/>
      <c r="GD55" s="193"/>
      <c r="GE55" s="193"/>
      <c r="GF55" s="193"/>
      <c r="GG55" s="193"/>
      <c r="GH55" s="193"/>
      <c r="GI55" s="193"/>
      <c r="GJ55" s="193"/>
      <c r="GK55" s="193"/>
      <c r="GL55" s="193"/>
      <c r="GM55" s="193"/>
      <c r="GN55" s="193"/>
      <c r="GO55" s="193"/>
      <c r="GP55" s="193"/>
      <c r="GQ55" s="193"/>
      <c r="GR55" s="193"/>
      <c r="GS55" s="193"/>
      <c r="GT55" s="193"/>
      <c r="GU55" s="193"/>
      <c r="GV55" s="193"/>
      <c r="GW55" s="193"/>
      <c r="GX55" s="193"/>
      <c r="GY55" s="193"/>
      <c r="GZ55" s="193"/>
      <c r="HA55" s="193"/>
      <c r="HB55" s="193"/>
      <c r="HC55" s="193"/>
      <c r="HD55" s="193"/>
      <c r="HE55" s="193"/>
      <c r="HF55" s="193"/>
      <c r="HG55" s="193"/>
      <c r="HH55" s="193"/>
      <c r="HI55" s="193"/>
      <c r="HJ55" s="193"/>
      <c r="HK55" s="193"/>
      <c r="HL55" s="193"/>
      <c r="HM55" s="193"/>
      <c r="HN55" s="193"/>
      <c r="HO55" s="193"/>
      <c r="HP55" s="193"/>
      <c r="HQ55" s="193"/>
      <c r="HR55" s="193"/>
      <c r="HS55" s="193"/>
      <c r="HT55" s="193"/>
      <c r="HU55" s="193"/>
      <c r="HV55" s="193"/>
      <c r="HW55" s="193"/>
      <c r="HX55" s="193"/>
      <c r="HY55" s="193"/>
      <c r="HZ55" s="193"/>
      <c r="IA55" s="193"/>
      <c r="IB55" s="193"/>
      <c r="IC55" s="193"/>
      <c r="ID55" s="193"/>
      <c r="IE55" s="193"/>
      <c r="IF55" s="193"/>
      <c r="IG55" s="193"/>
      <c r="IH55" s="193"/>
      <c r="II55" s="193"/>
      <c r="IJ55" s="193"/>
      <c r="IK55" s="193"/>
      <c r="IL55" s="193"/>
      <c r="IM55" s="193"/>
      <c r="IN55" s="193"/>
      <c r="IO55" s="193"/>
      <c r="IP55" s="193"/>
      <c r="IQ55" s="193"/>
      <c r="IR55" s="193"/>
      <c r="IS55" s="193"/>
      <c r="IT55" s="193"/>
      <c r="IU55" s="193"/>
      <c r="IV55" s="193"/>
    </row>
    <row r="56" spans="1:256" s="15" customFormat="1" ht="90" x14ac:dyDescent="0.3">
      <c r="A56" s="485"/>
      <c r="B56" s="16" t="s">
        <v>186</v>
      </c>
      <c r="C56" s="455" t="s">
        <v>135</v>
      </c>
      <c r="D56" s="16">
        <v>42430</v>
      </c>
      <c r="E56" s="17" t="s">
        <v>136</v>
      </c>
      <c r="F56" s="479" t="s">
        <v>153</v>
      </c>
      <c r="G56" s="488"/>
      <c r="H56" s="315">
        <v>150000</v>
      </c>
      <c r="I56" s="491"/>
      <c r="J56" s="315">
        <v>0</v>
      </c>
      <c r="K56" s="362">
        <v>150000</v>
      </c>
      <c r="L56" s="307">
        <v>90000</v>
      </c>
      <c r="M56" s="309">
        <f t="shared" si="0"/>
        <v>60000</v>
      </c>
      <c r="N56" s="291">
        <v>0</v>
      </c>
      <c r="O56" s="291">
        <v>60000</v>
      </c>
      <c r="P56" s="309">
        <f t="shared" si="1"/>
        <v>120000</v>
      </c>
      <c r="R56" s="193"/>
      <c r="S56" s="193"/>
      <c r="T56" s="193"/>
      <c r="U56" s="193"/>
      <c r="V56" s="193"/>
      <c r="W56" s="193"/>
      <c r="X56" s="193"/>
      <c r="Y56" s="193"/>
      <c r="Z56" s="193"/>
      <c r="AA56" s="193"/>
      <c r="AB56" s="193"/>
      <c r="AC56" s="193"/>
      <c r="AD56" s="193"/>
      <c r="AE56" s="193"/>
      <c r="AF56" s="193"/>
      <c r="AG56" s="193"/>
      <c r="AH56" s="193"/>
      <c r="AI56" s="193"/>
      <c r="AJ56" s="193"/>
      <c r="AK56" s="193"/>
      <c r="AL56" s="193"/>
      <c r="AM56" s="193"/>
      <c r="AN56" s="193"/>
      <c r="AO56" s="193"/>
      <c r="AP56" s="193"/>
      <c r="AQ56" s="193"/>
      <c r="AR56" s="193"/>
      <c r="AS56" s="193"/>
      <c r="AT56" s="193"/>
      <c r="AU56" s="193"/>
      <c r="AV56" s="193"/>
      <c r="AW56" s="193"/>
      <c r="AX56" s="193"/>
      <c r="AY56" s="193"/>
      <c r="AZ56" s="193"/>
      <c r="BA56" s="193"/>
      <c r="BB56" s="193"/>
      <c r="BC56" s="193"/>
      <c r="BD56" s="193"/>
      <c r="BE56" s="193"/>
      <c r="BF56" s="193"/>
      <c r="BG56" s="193"/>
      <c r="BH56" s="193"/>
      <c r="BI56" s="193"/>
      <c r="BJ56" s="193"/>
      <c r="BK56" s="193"/>
      <c r="BL56" s="193"/>
      <c r="BM56" s="193"/>
      <c r="BN56" s="193"/>
      <c r="BO56" s="193"/>
      <c r="BP56" s="193"/>
      <c r="BQ56" s="193"/>
      <c r="BR56" s="193"/>
      <c r="BS56" s="193"/>
      <c r="BT56" s="193"/>
      <c r="BU56" s="193"/>
      <c r="BV56" s="193"/>
      <c r="BW56" s="193"/>
      <c r="BX56" s="193"/>
      <c r="BY56" s="193"/>
      <c r="BZ56" s="193"/>
      <c r="CA56" s="193"/>
      <c r="CB56" s="193"/>
      <c r="CC56" s="193"/>
      <c r="CD56" s="193"/>
      <c r="CE56" s="193"/>
      <c r="CF56" s="193"/>
      <c r="CG56" s="193"/>
      <c r="CH56" s="193"/>
      <c r="CI56" s="193"/>
      <c r="CJ56" s="193"/>
      <c r="CK56" s="193"/>
      <c r="CL56" s="193"/>
      <c r="CM56" s="193"/>
      <c r="CN56" s="193"/>
      <c r="CO56" s="193"/>
      <c r="CP56" s="193"/>
      <c r="CQ56" s="193"/>
      <c r="CR56" s="193"/>
      <c r="CS56" s="193"/>
      <c r="CT56" s="193"/>
      <c r="CU56" s="193"/>
      <c r="CV56" s="193"/>
      <c r="CW56" s="193"/>
      <c r="CX56" s="193"/>
      <c r="CY56" s="193"/>
      <c r="CZ56" s="193"/>
      <c r="DA56" s="193"/>
      <c r="DB56" s="193"/>
      <c r="DC56" s="193"/>
      <c r="DD56" s="193"/>
      <c r="DE56" s="193"/>
      <c r="DF56" s="193"/>
      <c r="DG56" s="193"/>
      <c r="DH56" s="193"/>
      <c r="DI56" s="193"/>
      <c r="DJ56" s="193"/>
      <c r="DK56" s="193"/>
      <c r="DL56" s="193"/>
      <c r="DM56" s="193"/>
      <c r="DN56" s="193"/>
      <c r="DO56" s="193"/>
      <c r="DP56" s="193"/>
      <c r="DQ56" s="193"/>
      <c r="DR56" s="193"/>
      <c r="DS56" s="193"/>
      <c r="DT56" s="193"/>
      <c r="DU56" s="193"/>
      <c r="DV56" s="193"/>
      <c r="DW56" s="193"/>
      <c r="DX56" s="193"/>
      <c r="DY56" s="193"/>
      <c r="DZ56" s="193"/>
      <c r="EA56" s="193"/>
      <c r="EB56" s="193"/>
      <c r="EC56" s="193"/>
      <c r="ED56" s="193"/>
      <c r="EE56" s="193"/>
      <c r="EF56" s="193"/>
      <c r="EG56" s="193"/>
      <c r="EH56" s="193"/>
      <c r="EI56" s="193"/>
      <c r="EJ56" s="193"/>
      <c r="EK56" s="193"/>
      <c r="EL56" s="193"/>
      <c r="EM56" s="193"/>
      <c r="EN56" s="193"/>
      <c r="EO56" s="193"/>
      <c r="EP56" s="193"/>
      <c r="EQ56" s="193"/>
      <c r="ER56" s="193"/>
      <c r="ES56" s="193"/>
      <c r="ET56" s="193"/>
      <c r="EU56" s="193"/>
      <c r="EV56" s="193"/>
      <c r="EW56" s="193"/>
      <c r="EX56" s="193"/>
      <c r="EY56" s="193"/>
      <c r="EZ56" s="193"/>
      <c r="FA56" s="193"/>
      <c r="FB56" s="193"/>
      <c r="FC56" s="193"/>
      <c r="FD56" s="193"/>
      <c r="FE56" s="193"/>
      <c r="FF56" s="193"/>
      <c r="FG56" s="193"/>
      <c r="FH56" s="193"/>
      <c r="FI56" s="193"/>
      <c r="FJ56" s="193"/>
      <c r="FK56" s="193"/>
      <c r="FL56" s="193"/>
      <c r="FM56" s="193"/>
      <c r="FN56" s="193"/>
      <c r="FO56" s="193"/>
      <c r="FP56" s="193"/>
      <c r="FQ56" s="193"/>
      <c r="FR56" s="193"/>
      <c r="FS56" s="193"/>
      <c r="FT56" s="193"/>
      <c r="FU56" s="193"/>
      <c r="FV56" s="193"/>
      <c r="FW56" s="193"/>
      <c r="FX56" s="193"/>
      <c r="FY56" s="193"/>
      <c r="FZ56" s="193"/>
      <c r="GA56" s="193"/>
      <c r="GB56" s="193"/>
      <c r="GC56" s="193"/>
      <c r="GD56" s="193"/>
      <c r="GE56" s="193"/>
      <c r="GF56" s="193"/>
      <c r="GG56" s="193"/>
      <c r="GH56" s="193"/>
      <c r="GI56" s="193"/>
      <c r="GJ56" s="193"/>
      <c r="GK56" s="193"/>
      <c r="GL56" s="193"/>
      <c r="GM56" s="193"/>
      <c r="GN56" s="193"/>
      <c r="GO56" s="193"/>
      <c r="GP56" s="193"/>
      <c r="GQ56" s="193"/>
      <c r="GR56" s="193"/>
      <c r="GS56" s="193"/>
      <c r="GT56" s="193"/>
      <c r="GU56" s="193"/>
      <c r="GV56" s="193"/>
      <c r="GW56" s="193"/>
      <c r="GX56" s="193"/>
      <c r="GY56" s="193"/>
      <c r="GZ56" s="193"/>
      <c r="HA56" s="193"/>
      <c r="HB56" s="193"/>
      <c r="HC56" s="193"/>
      <c r="HD56" s="193"/>
      <c r="HE56" s="193"/>
      <c r="HF56" s="193"/>
      <c r="HG56" s="193"/>
      <c r="HH56" s="193"/>
      <c r="HI56" s="193"/>
      <c r="HJ56" s="193"/>
      <c r="HK56" s="193"/>
      <c r="HL56" s="193"/>
      <c r="HM56" s="193"/>
      <c r="HN56" s="193"/>
      <c r="HO56" s="193"/>
      <c r="HP56" s="193"/>
      <c r="HQ56" s="193"/>
      <c r="HR56" s="193"/>
      <c r="HS56" s="193"/>
      <c r="HT56" s="193"/>
      <c r="HU56" s="193"/>
      <c r="HV56" s="193"/>
      <c r="HW56" s="193"/>
      <c r="HX56" s="193"/>
      <c r="HY56" s="193"/>
      <c r="HZ56" s="193"/>
      <c r="IA56" s="193"/>
      <c r="IB56" s="193"/>
      <c r="IC56" s="193"/>
      <c r="ID56" s="193"/>
      <c r="IE56" s="193"/>
      <c r="IF56" s="193"/>
      <c r="IG56" s="193"/>
      <c r="IH56" s="193"/>
      <c r="II56" s="193"/>
      <c r="IJ56" s="193"/>
      <c r="IK56" s="193"/>
      <c r="IL56" s="193"/>
      <c r="IM56" s="193"/>
      <c r="IN56" s="193"/>
      <c r="IO56" s="193"/>
      <c r="IP56" s="193"/>
      <c r="IQ56" s="193"/>
      <c r="IR56" s="193"/>
      <c r="IS56" s="193"/>
      <c r="IT56" s="193"/>
      <c r="IU56" s="193"/>
      <c r="IV56" s="193"/>
    </row>
    <row r="57" spans="1:256" s="15" customFormat="1" ht="46.8" x14ac:dyDescent="0.3">
      <c r="A57" s="485"/>
      <c r="B57" s="16" t="s">
        <v>187</v>
      </c>
      <c r="C57" s="455" t="s">
        <v>143</v>
      </c>
      <c r="D57" s="16">
        <v>42705</v>
      </c>
      <c r="E57" s="17" t="s">
        <v>188</v>
      </c>
      <c r="F57" s="486"/>
      <c r="G57" s="488"/>
      <c r="H57" s="315">
        <v>0</v>
      </c>
      <c r="I57" s="491"/>
      <c r="J57" s="315">
        <v>1000000</v>
      </c>
      <c r="K57" s="362">
        <v>1000000</v>
      </c>
      <c r="L57" s="307">
        <v>435000</v>
      </c>
      <c r="M57" s="309">
        <f t="shared" si="0"/>
        <v>565000</v>
      </c>
      <c r="N57" s="291">
        <v>0</v>
      </c>
      <c r="O57" s="291">
        <v>0</v>
      </c>
      <c r="P57" s="309">
        <f t="shared" si="1"/>
        <v>565000</v>
      </c>
      <c r="R57" s="193"/>
      <c r="S57" s="193"/>
      <c r="T57" s="193"/>
      <c r="U57" s="193"/>
      <c r="V57" s="193"/>
      <c r="W57" s="193"/>
      <c r="X57" s="193"/>
      <c r="Y57" s="193"/>
      <c r="Z57" s="193"/>
      <c r="AA57" s="193"/>
      <c r="AB57" s="193"/>
      <c r="AC57" s="193"/>
      <c r="AD57" s="193"/>
      <c r="AE57" s="193"/>
      <c r="AF57" s="193"/>
      <c r="AG57" s="193"/>
      <c r="AH57" s="193"/>
      <c r="AI57" s="193"/>
      <c r="AJ57" s="193"/>
      <c r="AK57" s="193"/>
      <c r="AL57" s="193"/>
      <c r="AM57" s="193"/>
      <c r="AN57" s="193"/>
      <c r="AO57" s="193"/>
      <c r="AP57" s="193"/>
      <c r="AQ57" s="193"/>
      <c r="AR57" s="193"/>
      <c r="AS57" s="193"/>
      <c r="AT57" s="193"/>
      <c r="AU57" s="193"/>
      <c r="AV57" s="193"/>
      <c r="AW57" s="193"/>
      <c r="AX57" s="193"/>
      <c r="AY57" s="193"/>
      <c r="AZ57" s="193"/>
      <c r="BA57" s="193"/>
      <c r="BB57" s="193"/>
      <c r="BC57" s="193"/>
      <c r="BD57" s="193"/>
      <c r="BE57" s="193"/>
      <c r="BF57" s="193"/>
      <c r="BG57" s="193"/>
      <c r="BH57" s="193"/>
      <c r="BI57" s="193"/>
      <c r="BJ57" s="193"/>
      <c r="BK57" s="193"/>
      <c r="BL57" s="193"/>
      <c r="BM57" s="193"/>
      <c r="BN57" s="193"/>
      <c r="BO57" s="193"/>
      <c r="BP57" s="193"/>
      <c r="BQ57" s="193"/>
      <c r="BR57" s="193"/>
      <c r="BS57" s="193"/>
      <c r="BT57" s="193"/>
      <c r="BU57" s="193"/>
      <c r="BV57" s="193"/>
      <c r="BW57" s="193"/>
      <c r="BX57" s="193"/>
      <c r="BY57" s="193"/>
      <c r="BZ57" s="193"/>
      <c r="CA57" s="193"/>
      <c r="CB57" s="193"/>
      <c r="CC57" s="193"/>
      <c r="CD57" s="193"/>
      <c r="CE57" s="193"/>
      <c r="CF57" s="193"/>
      <c r="CG57" s="193"/>
      <c r="CH57" s="193"/>
      <c r="CI57" s="193"/>
      <c r="CJ57" s="193"/>
      <c r="CK57" s="193"/>
      <c r="CL57" s="193"/>
      <c r="CM57" s="193"/>
      <c r="CN57" s="193"/>
      <c r="CO57" s="193"/>
      <c r="CP57" s="193"/>
      <c r="CQ57" s="193"/>
      <c r="CR57" s="193"/>
      <c r="CS57" s="193"/>
      <c r="CT57" s="193"/>
      <c r="CU57" s="193"/>
      <c r="CV57" s="193"/>
      <c r="CW57" s="193"/>
      <c r="CX57" s="193"/>
      <c r="CY57" s="193"/>
      <c r="CZ57" s="193"/>
      <c r="DA57" s="193"/>
      <c r="DB57" s="193"/>
      <c r="DC57" s="193"/>
      <c r="DD57" s="193"/>
      <c r="DE57" s="193"/>
      <c r="DF57" s="193"/>
      <c r="DG57" s="193"/>
      <c r="DH57" s="193"/>
      <c r="DI57" s="193"/>
      <c r="DJ57" s="193"/>
      <c r="DK57" s="193"/>
      <c r="DL57" s="193"/>
      <c r="DM57" s="193"/>
      <c r="DN57" s="193"/>
      <c r="DO57" s="193"/>
      <c r="DP57" s="193"/>
      <c r="DQ57" s="193"/>
      <c r="DR57" s="193"/>
      <c r="DS57" s="193"/>
      <c r="DT57" s="193"/>
      <c r="DU57" s="193"/>
      <c r="DV57" s="193"/>
      <c r="DW57" s="193"/>
      <c r="DX57" s="193"/>
      <c r="DY57" s="193"/>
      <c r="DZ57" s="193"/>
      <c r="EA57" s="193"/>
      <c r="EB57" s="193"/>
      <c r="EC57" s="193"/>
      <c r="ED57" s="193"/>
      <c r="EE57" s="193"/>
      <c r="EF57" s="193"/>
      <c r="EG57" s="193"/>
      <c r="EH57" s="193"/>
      <c r="EI57" s="193"/>
      <c r="EJ57" s="193"/>
      <c r="EK57" s="193"/>
      <c r="EL57" s="193"/>
      <c r="EM57" s="193"/>
      <c r="EN57" s="193"/>
      <c r="EO57" s="193"/>
      <c r="EP57" s="193"/>
      <c r="EQ57" s="193"/>
      <c r="ER57" s="193"/>
      <c r="ES57" s="193"/>
      <c r="ET57" s="193"/>
      <c r="EU57" s="193"/>
      <c r="EV57" s="193"/>
      <c r="EW57" s="193"/>
      <c r="EX57" s="193"/>
      <c r="EY57" s="193"/>
      <c r="EZ57" s="193"/>
      <c r="FA57" s="193"/>
      <c r="FB57" s="193"/>
      <c r="FC57" s="193"/>
      <c r="FD57" s="193"/>
      <c r="FE57" s="193"/>
      <c r="FF57" s="193"/>
      <c r="FG57" s="193"/>
      <c r="FH57" s="193"/>
      <c r="FI57" s="193"/>
      <c r="FJ57" s="193"/>
      <c r="FK57" s="193"/>
      <c r="FL57" s="193"/>
      <c r="FM57" s="193"/>
      <c r="FN57" s="193"/>
      <c r="FO57" s="193"/>
      <c r="FP57" s="193"/>
      <c r="FQ57" s="193"/>
      <c r="FR57" s="193"/>
      <c r="FS57" s="193"/>
      <c r="FT57" s="193"/>
      <c r="FU57" s="193"/>
      <c r="FV57" s="193"/>
      <c r="FW57" s="193"/>
      <c r="FX57" s="193"/>
      <c r="FY57" s="193"/>
      <c r="FZ57" s="193"/>
      <c r="GA57" s="193"/>
      <c r="GB57" s="193"/>
      <c r="GC57" s="193"/>
      <c r="GD57" s="193"/>
      <c r="GE57" s="193"/>
      <c r="GF57" s="193"/>
      <c r="GG57" s="193"/>
      <c r="GH57" s="193"/>
      <c r="GI57" s="193"/>
      <c r="GJ57" s="193"/>
      <c r="GK57" s="193"/>
      <c r="GL57" s="193"/>
      <c r="GM57" s="193"/>
      <c r="GN57" s="193"/>
      <c r="GO57" s="193"/>
      <c r="GP57" s="193"/>
      <c r="GQ57" s="193"/>
      <c r="GR57" s="193"/>
      <c r="GS57" s="193"/>
      <c r="GT57" s="193"/>
      <c r="GU57" s="193"/>
      <c r="GV57" s="193"/>
      <c r="GW57" s="193"/>
      <c r="GX57" s="193"/>
      <c r="GY57" s="193"/>
      <c r="GZ57" s="193"/>
      <c r="HA57" s="193"/>
      <c r="HB57" s="193"/>
      <c r="HC57" s="193"/>
      <c r="HD57" s="193"/>
      <c r="HE57" s="193"/>
      <c r="HF57" s="193"/>
      <c r="HG57" s="193"/>
      <c r="HH57" s="193"/>
      <c r="HI57" s="193"/>
      <c r="HJ57" s="193"/>
      <c r="HK57" s="193"/>
      <c r="HL57" s="193"/>
      <c r="HM57" s="193"/>
      <c r="HN57" s="193"/>
      <c r="HO57" s="193"/>
      <c r="HP57" s="193"/>
      <c r="HQ57" s="193"/>
      <c r="HR57" s="193"/>
      <c r="HS57" s="193"/>
      <c r="HT57" s="193"/>
      <c r="HU57" s="193"/>
      <c r="HV57" s="193"/>
      <c r="HW57" s="193"/>
      <c r="HX57" s="193"/>
      <c r="HY57" s="193"/>
      <c r="HZ57" s="193"/>
      <c r="IA57" s="193"/>
      <c r="IB57" s="193"/>
      <c r="IC57" s="193"/>
      <c r="ID57" s="193"/>
      <c r="IE57" s="193"/>
      <c r="IF57" s="193"/>
      <c r="IG57" s="193"/>
      <c r="IH57" s="193"/>
      <c r="II57" s="193"/>
      <c r="IJ57" s="193"/>
      <c r="IK57" s="193"/>
      <c r="IL57" s="193"/>
      <c r="IM57" s="193"/>
      <c r="IN57" s="193"/>
      <c r="IO57" s="193"/>
      <c r="IP57" s="193"/>
      <c r="IQ57" s="193"/>
      <c r="IR57" s="193"/>
      <c r="IS57" s="193"/>
      <c r="IT57" s="193"/>
      <c r="IU57" s="193"/>
      <c r="IV57" s="193"/>
    </row>
    <row r="58" spans="1:256" s="15" customFormat="1" ht="78" x14ac:dyDescent="0.3">
      <c r="A58" s="485"/>
      <c r="B58" s="16" t="s">
        <v>189</v>
      </c>
      <c r="C58" s="455" t="s">
        <v>190</v>
      </c>
      <c r="D58" s="16">
        <v>42675</v>
      </c>
      <c r="E58" s="17" t="s">
        <v>191</v>
      </c>
      <c r="F58" s="480"/>
      <c r="G58" s="488"/>
      <c r="H58" s="315">
        <v>0</v>
      </c>
      <c r="I58" s="491"/>
      <c r="J58" s="315">
        <v>4000000</v>
      </c>
      <c r="K58" s="362">
        <v>4000000</v>
      </c>
      <c r="L58" s="307">
        <v>-289260</v>
      </c>
      <c r="M58" s="309">
        <f t="shared" si="0"/>
        <v>4289260</v>
      </c>
      <c r="N58" s="291">
        <v>0</v>
      </c>
      <c r="O58" s="291">
        <v>0</v>
      </c>
      <c r="P58" s="309">
        <f>SUM(M58:O58)</f>
        <v>4289260</v>
      </c>
      <c r="R58" s="193"/>
      <c r="S58" s="193"/>
      <c r="T58" s="193"/>
      <c r="U58" s="193"/>
      <c r="V58" s="193"/>
      <c r="W58" s="193"/>
      <c r="X58" s="193"/>
      <c r="Y58" s="193"/>
      <c r="Z58" s="193"/>
      <c r="AA58" s="193"/>
      <c r="AB58" s="193"/>
      <c r="AC58" s="193"/>
      <c r="AD58" s="193"/>
      <c r="AE58" s="193"/>
      <c r="AF58" s="193"/>
      <c r="AG58" s="193"/>
      <c r="AH58" s="193"/>
      <c r="AI58" s="193"/>
      <c r="AJ58" s="193"/>
      <c r="AK58" s="193"/>
      <c r="AL58" s="193"/>
      <c r="AM58" s="193"/>
      <c r="AN58" s="193"/>
      <c r="AO58" s="193"/>
      <c r="AP58" s="193"/>
      <c r="AQ58" s="193"/>
      <c r="AR58" s="193"/>
      <c r="AS58" s="193"/>
      <c r="AT58" s="193"/>
      <c r="AU58" s="193"/>
      <c r="AV58" s="193"/>
      <c r="AW58" s="193"/>
      <c r="AX58" s="193"/>
      <c r="AY58" s="193"/>
      <c r="AZ58" s="193"/>
      <c r="BA58" s="193"/>
      <c r="BB58" s="193"/>
      <c r="BC58" s="193"/>
      <c r="BD58" s="193"/>
      <c r="BE58" s="193"/>
      <c r="BF58" s="193"/>
      <c r="BG58" s="193"/>
      <c r="BH58" s="193"/>
      <c r="BI58" s="193"/>
      <c r="BJ58" s="193"/>
      <c r="BK58" s="193"/>
      <c r="BL58" s="193"/>
      <c r="BM58" s="193"/>
      <c r="BN58" s="193"/>
      <c r="BO58" s="193"/>
      <c r="BP58" s="193"/>
      <c r="BQ58" s="193"/>
      <c r="BR58" s="193"/>
      <c r="BS58" s="193"/>
      <c r="BT58" s="193"/>
      <c r="BU58" s="193"/>
      <c r="BV58" s="193"/>
      <c r="BW58" s="193"/>
      <c r="BX58" s="193"/>
      <c r="BY58" s="193"/>
      <c r="BZ58" s="193"/>
      <c r="CA58" s="193"/>
      <c r="CB58" s="193"/>
      <c r="CC58" s="193"/>
      <c r="CD58" s="193"/>
      <c r="CE58" s="193"/>
      <c r="CF58" s="193"/>
      <c r="CG58" s="193"/>
      <c r="CH58" s="193"/>
      <c r="CI58" s="193"/>
      <c r="CJ58" s="193"/>
      <c r="CK58" s="193"/>
      <c r="CL58" s="193"/>
      <c r="CM58" s="193"/>
      <c r="CN58" s="193"/>
      <c r="CO58" s="193"/>
      <c r="CP58" s="193"/>
      <c r="CQ58" s="193"/>
      <c r="CR58" s="193"/>
      <c r="CS58" s="193"/>
      <c r="CT58" s="193"/>
      <c r="CU58" s="193"/>
      <c r="CV58" s="193"/>
      <c r="CW58" s="193"/>
      <c r="CX58" s="193"/>
      <c r="CY58" s="193"/>
      <c r="CZ58" s="193"/>
      <c r="DA58" s="193"/>
      <c r="DB58" s="193"/>
      <c r="DC58" s="193"/>
      <c r="DD58" s="193"/>
      <c r="DE58" s="193"/>
      <c r="DF58" s="193"/>
      <c r="DG58" s="193"/>
      <c r="DH58" s="193"/>
      <c r="DI58" s="193"/>
      <c r="DJ58" s="193"/>
      <c r="DK58" s="193"/>
      <c r="DL58" s="193"/>
      <c r="DM58" s="193"/>
      <c r="DN58" s="193"/>
      <c r="DO58" s="193"/>
      <c r="DP58" s="193"/>
      <c r="DQ58" s="193"/>
      <c r="DR58" s="193"/>
      <c r="DS58" s="193"/>
      <c r="DT58" s="193"/>
      <c r="DU58" s="193"/>
      <c r="DV58" s="193"/>
      <c r="DW58" s="193"/>
      <c r="DX58" s="193"/>
      <c r="DY58" s="193"/>
      <c r="DZ58" s="193"/>
      <c r="EA58" s="193"/>
      <c r="EB58" s="193"/>
      <c r="EC58" s="193"/>
      <c r="ED58" s="193"/>
      <c r="EE58" s="193"/>
      <c r="EF58" s="193"/>
      <c r="EG58" s="193"/>
      <c r="EH58" s="193"/>
      <c r="EI58" s="193"/>
      <c r="EJ58" s="193"/>
      <c r="EK58" s="193"/>
      <c r="EL58" s="193"/>
      <c r="EM58" s="193"/>
      <c r="EN58" s="193"/>
      <c r="EO58" s="193"/>
      <c r="EP58" s="193"/>
      <c r="EQ58" s="193"/>
      <c r="ER58" s="193"/>
      <c r="ES58" s="193"/>
      <c r="ET58" s="193"/>
      <c r="EU58" s="193"/>
      <c r="EV58" s="193"/>
      <c r="EW58" s="193"/>
      <c r="EX58" s="193"/>
      <c r="EY58" s="193"/>
      <c r="EZ58" s="193"/>
      <c r="FA58" s="193"/>
      <c r="FB58" s="193"/>
      <c r="FC58" s="193"/>
      <c r="FD58" s="193"/>
      <c r="FE58" s="193"/>
      <c r="FF58" s="193"/>
      <c r="FG58" s="193"/>
      <c r="FH58" s="193"/>
      <c r="FI58" s="193"/>
      <c r="FJ58" s="193"/>
      <c r="FK58" s="193"/>
      <c r="FL58" s="193"/>
      <c r="FM58" s="193"/>
      <c r="FN58" s="193"/>
      <c r="FO58" s="193"/>
      <c r="FP58" s="193"/>
      <c r="FQ58" s="193"/>
      <c r="FR58" s="193"/>
      <c r="FS58" s="193"/>
      <c r="FT58" s="193"/>
      <c r="FU58" s="193"/>
      <c r="FV58" s="193"/>
      <c r="FW58" s="193"/>
      <c r="FX58" s="193"/>
      <c r="FY58" s="193"/>
      <c r="FZ58" s="193"/>
      <c r="GA58" s="193"/>
      <c r="GB58" s="193"/>
      <c r="GC58" s="193"/>
      <c r="GD58" s="193"/>
      <c r="GE58" s="193"/>
      <c r="GF58" s="193"/>
      <c r="GG58" s="193"/>
      <c r="GH58" s="193"/>
      <c r="GI58" s="193"/>
      <c r="GJ58" s="193"/>
      <c r="GK58" s="193"/>
      <c r="GL58" s="193"/>
      <c r="GM58" s="193"/>
      <c r="GN58" s="193"/>
      <c r="GO58" s="193"/>
      <c r="GP58" s="193"/>
      <c r="GQ58" s="193"/>
      <c r="GR58" s="193"/>
      <c r="GS58" s="193"/>
      <c r="GT58" s="193"/>
      <c r="GU58" s="193"/>
      <c r="GV58" s="193"/>
      <c r="GW58" s="193"/>
      <c r="GX58" s="193"/>
      <c r="GY58" s="193"/>
      <c r="GZ58" s="193"/>
      <c r="HA58" s="193"/>
      <c r="HB58" s="193"/>
      <c r="HC58" s="193"/>
      <c r="HD58" s="193"/>
      <c r="HE58" s="193"/>
      <c r="HF58" s="193"/>
      <c r="HG58" s="193"/>
      <c r="HH58" s="193"/>
      <c r="HI58" s="193"/>
      <c r="HJ58" s="193"/>
      <c r="HK58" s="193"/>
      <c r="HL58" s="193"/>
      <c r="HM58" s="193"/>
      <c r="HN58" s="193"/>
      <c r="HO58" s="193"/>
      <c r="HP58" s="193"/>
      <c r="HQ58" s="193"/>
      <c r="HR58" s="193"/>
      <c r="HS58" s="193"/>
      <c r="HT58" s="193"/>
      <c r="HU58" s="193"/>
      <c r="HV58" s="193"/>
      <c r="HW58" s="193"/>
      <c r="HX58" s="193"/>
      <c r="HY58" s="193"/>
      <c r="HZ58" s="193"/>
      <c r="IA58" s="193"/>
      <c r="IB58" s="193"/>
      <c r="IC58" s="193"/>
      <c r="ID58" s="193"/>
      <c r="IE58" s="193"/>
      <c r="IF58" s="193"/>
      <c r="IG58" s="193"/>
      <c r="IH58" s="193"/>
      <c r="II58" s="193"/>
      <c r="IJ58" s="193"/>
      <c r="IK58" s="193"/>
      <c r="IL58" s="193"/>
      <c r="IM58" s="193"/>
      <c r="IN58" s="193"/>
      <c r="IO58" s="193"/>
      <c r="IP58" s="193"/>
      <c r="IQ58" s="193"/>
      <c r="IR58" s="193"/>
      <c r="IS58" s="193"/>
      <c r="IT58" s="193"/>
      <c r="IU58" s="193"/>
      <c r="IV58" s="193"/>
    </row>
    <row r="59" spans="1:256" s="15" customFormat="1" ht="54" x14ac:dyDescent="0.3">
      <c r="A59" s="485"/>
      <c r="B59" s="16" t="s">
        <v>192</v>
      </c>
      <c r="C59" s="455" t="s">
        <v>193</v>
      </c>
      <c r="D59" s="16">
        <v>42461</v>
      </c>
      <c r="E59" s="17" t="s">
        <v>194</v>
      </c>
      <c r="F59" s="17" t="s">
        <v>185</v>
      </c>
      <c r="G59" s="489"/>
      <c r="H59" s="315">
        <v>0</v>
      </c>
      <c r="I59" s="491"/>
      <c r="J59" s="315">
        <v>12000000</v>
      </c>
      <c r="K59" s="362">
        <v>12000000</v>
      </c>
      <c r="L59" s="307">
        <v>0</v>
      </c>
      <c r="M59" s="309">
        <f t="shared" si="0"/>
        <v>12000000</v>
      </c>
      <c r="N59" s="291">
        <v>0</v>
      </c>
      <c r="O59" s="291">
        <v>0</v>
      </c>
      <c r="P59" s="309">
        <f t="shared" si="1"/>
        <v>12000000</v>
      </c>
      <c r="R59" s="193"/>
      <c r="S59" s="193"/>
      <c r="T59" s="193"/>
      <c r="U59" s="193"/>
      <c r="V59" s="193"/>
      <c r="W59" s="193"/>
      <c r="X59" s="193"/>
      <c r="Y59" s="193"/>
      <c r="Z59" s="193"/>
      <c r="AA59" s="193"/>
      <c r="AB59" s="193"/>
      <c r="AC59" s="193"/>
      <c r="AD59" s="193"/>
      <c r="AE59" s="193"/>
      <c r="AF59" s="193"/>
      <c r="AG59" s="193"/>
      <c r="AH59" s="193"/>
      <c r="AI59" s="193"/>
      <c r="AJ59" s="193"/>
      <c r="AK59" s="193"/>
      <c r="AL59" s="193"/>
      <c r="AM59" s="193"/>
      <c r="AN59" s="193"/>
      <c r="AO59" s="193"/>
      <c r="AP59" s="193"/>
      <c r="AQ59" s="193"/>
      <c r="AR59" s="193"/>
      <c r="AS59" s="193"/>
      <c r="AT59" s="193"/>
      <c r="AU59" s="193"/>
      <c r="AV59" s="193"/>
      <c r="AW59" s="193"/>
      <c r="AX59" s="193"/>
      <c r="AY59" s="193"/>
      <c r="AZ59" s="193"/>
      <c r="BA59" s="193"/>
      <c r="BB59" s="193"/>
      <c r="BC59" s="193"/>
      <c r="BD59" s="193"/>
      <c r="BE59" s="193"/>
      <c r="BF59" s="193"/>
      <c r="BG59" s="193"/>
      <c r="BH59" s="193"/>
      <c r="BI59" s="193"/>
      <c r="BJ59" s="193"/>
      <c r="BK59" s="193"/>
      <c r="BL59" s="193"/>
      <c r="BM59" s="193"/>
      <c r="BN59" s="193"/>
      <c r="BO59" s="193"/>
      <c r="BP59" s="193"/>
      <c r="BQ59" s="193"/>
      <c r="BR59" s="193"/>
      <c r="BS59" s="193"/>
      <c r="BT59" s="193"/>
      <c r="BU59" s="193"/>
      <c r="BV59" s="193"/>
      <c r="BW59" s="193"/>
      <c r="BX59" s="193"/>
      <c r="BY59" s="193"/>
      <c r="BZ59" s="193"/>
      <c r="CA59" s="193"/>
      <c r="CB59" s="193"/>
      <c r="CC59" s="193"/>
      <c r="CD59" s="193"/>
      <c r="CE59" s="193"/>
      <c r="CF59" s="193"/>
      <c r="CG59" s="193"/>
      <c r="CH59" s="193"/>
      <c r="CI59" s="193"/>
      <c r="CJ59" s="193"/>
      <c r="CK59" s="193"/>
      <c r="CL59" s="193"/>
      <c r="CM59" s="193"/>
      <c r="CN59" s="193"/>
      <c r="CO59" s="193"/>
      <c r="CP59" s="193"/>
      <c r="CQ59" s="193"/>
      <c r="CR59" s="193"/>
      <c r="CS59" s="193"/>
      <c r="CT59" s="193"/>
      <c r="CU59" s="193"/>
      <c r="CV59" s="193"/>
      <c r="CW59" s="193"/>
      <c r="CX59" s="193"/>
      <c r="CY59" s="193"/>
      <c r="CZ59" s="193"/>
      <c r="DA59" s="193"/>
      <c r="DB59" s="193"/>
      <c r="DC59" s="193"/>
      <c r="DD59" s="193"/>
      <c r="DE59" s="193"/>
      <c r="DF59" s="193"/>
      <c r="DG59" s="193"/>
      <c r="DH59" s="193"/>
      <c r="DI59" s="193"/>
      <c r="DJ59" s="193"/>
      <c r="DK59" s="193"/>
      <c r="DL59" s="193"/>
      <c r="DM59" s="193"/>
      <c r="DN59" s="193"/>
      <c r="DO59" s="193"/>
      <c r="DP59" s="193"/>
      <c r="DQ59" s="193"/>
      <c r="DR59" s="193"/>
      <c r="DS59" s="193"/>
      <c r="DT59" s="193"/>
      <c r="DU59" s="193"/>
      <c r="DV59" s="193"/>
      <c r="DW59" s="193"/>
      <c r="DX59" s="193"/>
      <c r="DY59" s="193"/>
      <c r="DZ59" s="193"/>
      <c r="EA59" s="193"/>
      <c r="EB59" s="193"/>
      <c r="EC59" s="193"/>
      <c r="ED59" s="193"/>
      <c r="EE59" s="193"/>
      <c r="EF59" s="193"/>
      <c r="EG59" s="193"/>
      <c r="EH59" s="193"/>
      <c r="EI59" s="193"/>
      <c r="EJ59" s="193"/>
      <c r="EK59" s="193"/>
      <c r="EL59" s="193"/>
      <c r="EM59" s="193"/>
      <c r="EN59" s="193"/>
      <c r="EO59" s="193"/>
      <c r="EP59" s="193"/>
      <c r="EQ59" s="193"/>
      <c r="ER59" s="193"/>
      <c r="ES59" s="193"/>
      <c r="ET59" s="193"/>
      <c r="EU59" s="193"/>
      <c r="EV59" s="193"/>
      <c r="EW59" s="193"/>
      <c r="EX59" s="193"/>
      <c r="EY59" s="193"/>
      <c r="EZ59" s="193"/>
      <c r="FA59" s="193"/>
      <c r="FB59" s="193"/>
      <c r="FC59" s="193"/>
      <c r="FD59" s="193"/>
      <c r="FE59" s="193"/>
      <c r="FF59" s="193"/>
      <c r="FG59" s="193"/>
      <c r="FH59" s="193"/>
      <c r="FI59" s="193"/>
      <c r="FJ59" s="193"/>
      <c r="FK59" s="193"/>
      <c r="FL59" s="193"/>
      <c r="FM59" s="193"/>
      <c r="FN59" s="193"/>
      <c r="FO59" s="193"/>
      <c r="FP59" s="193"/>
      <c r="FQ59" s="193"/>
      <c r="FR59" s="193"/>
      <c r="FS59" s="193"/>
      <c r="FT59" s="193"/>
      <c r="FU59" s="193"/>
      <c r="FV59" s="193"/>
      <c r="FW59" s="193"/>
      <c r="FX59" s="193"/>
      <c r="FY59" s="193"/>
      <c r="FZ59" s="193"/>
      <c r="GA59" s="193"/>
      <c r="GB59" s="193"/>
      <c r="GC59" s="193"/>
      <c r="GD59" s="193"/>
      <c r="GE59" s="193"/>
      <c r="GF59" s="193"/>
      <c r="GG59" s="193"/>
      <c r="GH59" s="193"/>
      <c r="GI59" s="193"/>
      <c r="GJ59" s="193"/>
      <c r="GK59" s="193"/>
      <c r="GL59" s="193"/>
      <c r="GM59" s="193"/>
      <c r="GN59" s="193"/>
      <c r="GO59" s="193"/>
      <c r="GP59" s="193"/>
      <c r="GQ59" s="193"/>
      <c r="GR59" s="193"/>
      <c r="GS59" s="193"/>
      <c r="GT59" s="193"/>
      <c r="GU59" s="193"/>
      <c r="GV59" s="193"/>
      <c r="GW59" s="193"/>
      <c r="GX59" s="193"/>
      <c r="GY59" s="193"/>
      <c r="GZ59" s="193"/>
      <c r="HA59" s="193"/>
      <c r="HB59" s="193"/>
      <c r="HC59" s="193"/>
      <c r="HD59" s="193"/>
      <c r="HE59" s="193"/>
      <c r="HF59" s="193"/>
      <c r="HG59" s="193"/>
      <c r="HH59" s="193"/>
      <c r="HI59" s="193"/>
      <c r="HJ59" s="193"/>
      <c r="HK59" s="193"/>
      <c r="HL59" s="193"/>
      <c r="HM59" s="193"/>
      <c r="HN59" s="193"/>
      <c r="HO59" s="193"/>
      <c r="HP59" s="193"/>
      <c r="HQ59" s="193"/>
      <c r="HR59" s="193"/>
      <c r="HS59" s="193"/>
      <c r="HT59" s="193"/>
      <c r="HU59" s="193"/>
      <c r="HV59" s="193"/>
      <c r="HW59" s="193"/>
      <c r="HX59" s="193"/>
      <c r="HY59" s="193"/>
      <c r="HZ59" s="193"/>
      <c r="IA59" s="193"/>
      <c r="IB59" s="193"/>
      <c r="IC59" s="193"/>
      <c r="ID59" s="193"/>
      <c r="IE59" s="193"/>
      <c r="IF59" s="193"/>
      <c r="IG59" s="193"/>
      <c r="IH59" s="193"/>
      <c r="II59" s="193"/>
      <c r="IJ59" s="193"/>
      <c r="IK59" s="193"/>
      <c r="IL59" s="193"/>
      <c r="IM59" s="193"/>
      <c r="IN59" s="193"/>
      <c r="IO59" s="193"/>
      <c r="IP59" s="193"/>
      <c r="IQ59" s="193"/>
      <c r="IR59" s="193"/>
      <c r="IS59" s="193"/>
      <c r="IT59" s="193"/>
      <c r="IU59" s="193"/>
      <c r="IV59" s="193"/>
    </row>
    <row r="60" spans="1:256" s="15" customFormat="1" ht="31.2" x14ac:dyDescent="0.3">
      <c r="A60" s="485"/>
      <c r="B60" s="16" t="s">
        <v>195</v>
      </c>
      <c r="C60" s="455" t="s">
        <v>196</v>
      </c>
      <c r="D60" s="16"/>
      <c r="E60" s="17" t="s">
        <v>197</v>
      </c>
      <c r="F60" s="17"/>
      <c r="G60" s="321"/>
      <c r="H60" s="315">
        <v>309999</v>
      </c>
      <c r="I60" s="322"/>
      <c r="J60" s="315">
        <v>-309999</v>
      </c>
      <c r="K60" s="362">
        <f>H60+J60</f>
        <v>0</v>
      </c>
      <c r="L60" s="307">
        <v>0</v>
      </c>
      <c r="M60" s="309">
        <f t="shared" si="0"/>
        <v>0</v>
      </c>
      <c r="N60" s="291">
        <v>0</v>
      </c>
      <c r="O60" s="291">
        <v>0</v>
      </c>
      <c r="P60" s="309">
        <f t="shared" si="1"/>
        <v>0</v>
      </c>
      <c r="R60" s="193"/>
      <c r="S60" s="193"/>
      <c r="T60" s="193"/>
      <c r="U60" s="193"/>
      <c r="V60" s="193"/>
      <c r="W60" s="193"/>
      <c r="X60" s="193"/>
      <c r="Y60" s="193"/>
      <c r="Z60" s="193"/>
      <c r="AA60" s="193"/>
      <c r="AB60" s="193"/>
      <c r="AC60" s="193"/>
      <c r="AD60" s="193"/>
      <c r="AE60" s="193"/>
      <c r="AF60" s="193"/>
      <c r="AG60" s="193"/>
      <c r="AH60" s="193"/>
      <c r="AI60" s="193"/>
      <c r="AJ60" s="193"/>
      <c r="AK60" s="193"/>
      <c r="AL60" s="193"/>
      <c r="AM60" s="193"/>
      <c r="AN60" s="193"/>
      <c r="AO60" s="193"/>
      <c r="AP60" s="193"/>
      <c r="AQ60" s="193"/>
      <c r="AR60" s="193"/>
      <c r="AS60" s="193"/>
      <c r="AT60" s="193"/>
      <c r="AU60" s="193"/>
      <c r="AV60" s="193"/>
      <c r="AW60" s="193"/>
      <c r="AX60" s="193"/>
      <c r="AY60" s="193"/>
      <c r="AZ60" s="193"/>
      <c r="BA60" s="193"/>
      <c r="BB60" s="193"/>
      <c r="BC60" s="193"/>
      <c r="BD60" s="193"/>
      <c r="BE60" s="193"/>
      <c r="BF60" s="193"/>
      <c r="BG60" s="193"/>
      <c r="BH60" s="193"/>
      <c r="BI60" s="193"/>
      <c r="BJ60" s="193"/>
      <c r="BK60" s="193"/>
      <c r="BL60" s="193"/>
      <c r="BM60" s="193"/>
      <c r="BN60" s="193"/>
      <c r="BO60" s="193"/>
      <c r="BP60" s="193"/>
      <c r="BQ60" s="193"/>
      <c r="BR60" s="193"/>
      <c r="BS60" s="193"/>
      <c r="BT60" s="193"/>
      <c r="BU60" s="193"/>
      <c r="BV60" s="193"/>
      <c r="BW60" s="193"/>
      <c r="BX60" s="193"/>
      <c r="BY60" s="193"/>
      <c r="BZ60" s="193"/>
      <c r="CA60" s="193"/>
      <c r="CB60" s="193"/>
      <c r="CC60" s="193"/>
      <c r="CD60" s="193"/>
      <c r="CE60" s="193"/>
      <c r="CF60" s="193"/>
      <c r="CG60" s="193"/>
      <c r="CH60" s="193"/>
      <c r="CI60" s="193"/>
      <c r="CJ60" s="193"/>
      <c r="CK60" s="193"/>
      <c r="CL60" s="193"/>
      <c r="CM60" s="193"/>
      <c r="CN60" s="193"/>
      <c r="CO60" s="193"/>
      <c r="CP60" s="193"/>
      <c r="CQ60" s="193"/>
      <c r="CR60" s="193"/>
      <c r="CS60" s="193"/>
      <c r="CT60" s="193"/>
      <c r="CU60" s="193"/>
      <c r="CV60" s="193"/>
      <c r="CW60" s="193"/>
      <c r="CX60" s="193"/>
      <c r="CY60" s="193"/>
      <c r="CZ60" s="193"/>
      <c r="DA60" s="193"/>
      <c r="DB60" s="193"/>
      <c r="DC60" s="193"/>
      <c r="DD60" s="193"/>
      <c r="DE60" s="193"/>
      <c r="DF60" s="193"/>
      <c r="DG60" s="193"/>
      <c r="DH60" s="193"/>
      <c r="DI60" s="193"/>
      <c r="DJ60" s="193"/>
      <c r="DK60" s="193"/>
      <c r="DL60" s="193"/>
      <c r="DM60" s="193"/>
      <c r="DN60" s="193"/>
      <c r="DO60" s="193"/>
      <c r="DP60" s="193"/>
      <c r="DQ60" s="193"/>
      <c r="DR60" s="193"/>
      <c r="DS60" s="193"/>
      <c r="DT60" s="193"/>
      <c r="DU60" s="193"/>
      <c r="DV60" s="193"/>
      <c r="DW60" s="193"/>
      <c r="DX60" s="193"/>
      <c r="DY60" s="193"/>
      <c r="DZ60" s="193"/>
      <c r="EA60" s="193"/>
      <c r="EB60" s="193"/>
      <c r="EC60" s="193"/>
      <c r="ED60" s="193"/>
      <c r="EE60" s="193"/>
      <c r="EF60" s="193"/>
      <c r="EG60" s="193"/>
      <c r="EH60" s="193"/>
      <c r="EI60" s="193"/>
      <c r="EJ60" s="193"/>
      <c r="EK60" s="193"/>
      <c r="EL60" s="193"/>
      <c r="EM60" s="193"/>
      <c r="EN60" s="193"/>
      <c r="EO60" s="193"/>
      <c r="EP60" s="193"/>
      <c r="EQ60" s="193"/>
      <c r="ER60" s="193"/>
      <c r="ES60" s="193"/>
      <c r="ET60" s="193"/>
      <c r="EU60" s="193"/>
      <c r="EV60" s="193"/>
      <c r="EW60" s="193"/>
      <c r="EX60" s="193"/>
      <c r="EY60" s="193"/>
      <c r="EZ60" s="193"/>
      <c r="FA60" s="193"/>
      <c r="FB60" s="193"/>
      <c r="FC60" s="193"/>
      <c r="FD60" s="193"/>
      <c r="FE60" s="193"/>
      <c r="FF60" s="193"/>
      <c r="FG60" s="193"/>
      <c r="FH60" s="193"/>
      <c r="FI60" s="193"/>
      <c r="FJ60" s="193"/>
      <c r="FK60" s="193"/>
      <c r="FL60" s="193"/>
      <c r="FM60" s="193"/>
      <c r="FN60" s="193"/>
      <c r="FO60" s="193"/>
      <c r="FP60" s="193"/>
      <c r="FQ60" s="193"/>
      <c r="FR60" s="193"/>
      <c r="FS60" s="193"/>
      <c r="FT60" s="193"/>
      <c r="FU60" s="193"/>
      <c r="FV60" s="193"/>
      <c r="FW60" s="193"/>
      <c r="FX60" s="193"/>
      <c r="FY60" s="193"/>
      <c r="FZ60" s="193"/>
      <c r="GA60" s="193"/>
      <c r="GB60" s="193"/>
      <c r="GC60" s="193"/>
      <c r="GD60" s="193"/>
      <c r="GE60" s="193"/>
      <c r="GF60" s="193"/>
      <c r="GG60" s="193"/>
      <c r="GH60" s="193"/>
      <c r="GI60" s="193"/>
      <c r="GJ60" s="193"/>
      <c r="GK60" s="193"/>
      <c r="GL60" s="193"/>
      <c r="GM60" s="193"/>
      <c r="GN60" s="193"/>
      <c r="GO60" s="193"/>
      <c r="GP60" s="193"/>
      <c r="GQ60" s="193"/>
      <c r="GR60" s="193"/>
      <c r="GS60" s="193"/>
      <c r="GT60" s="193"/>
      <c r="GU60" s="193"/>
      <c r="GV60" s="193"/>
      <c r="GW60" s="193"/>
      <c r="GX60" s="193"/>
      <c r="GY60" s="193"/>
      <c r="GZ60" s="193"/>
      <c r="HA60" s="193"/>
      <c r="HB60" s="193"/>
      <c r="HC60" s="193"/>
      <c r="HD60" s="193"/>
      <c r="HE60" s="193"/>
      <c r="HF60" s="193"/>
      <c r="HG60" s="193"/>
      <c r="HH60" s="193"/>
      <c r="HI60" s="193"/>
      <c r="HJ60" s="193"/>
      <c r="HK60" s="193"/>
      <c r="HL60" s="193"/>
      <c r="HM60" s="193"/>
      <c r="HN60" s="193"/>
      <c r="HO60" s="193"/>
      <c r="HP60" s="193"/>
      <c r="HQ60" s="193"/>
      <c r="HR60" s="193"/>
      <c r="HS60" s="193"/>
      <c r="HT60" s="193"/>
      <c r="HU60" s="193"/>
      <c r="HV60" s="193"/>
      <c r="HW60" s="193"/>
      <c r="HX60" s="193"/>
      <c r="HY60" s="193"/>
      <c r="HZ60" s="193"/>
      <c r="IA60" s="193"/>
      <c r="IB60" s="193"/>
      <c r="IC60" s="193"/>
      <c r="ID60" s="193"/>
      <c r="IE60" s="193"/>
      <c r="IF60" s="193"/>
      <c r="IG60" s="193"/>
      <c r="IH60" s="193"/>
      <c r="II60" s="193"/>
      <c r="IJ60" s="193"/>
      <c r="IK60" s="193"/>
      <c r="IL60" s="193"/>
      <c r="IM60" s="193"/>
      <c r="IN60" s="193"/>
      <c r="IO60" s="193"/>
      <c r="IP60" s="193"/>
      <c r="IQ60" s="193"/>
      <c r="IR60" s="193"/>
      <c r="IS60" s="193"/>
      <c r="IT60" s="193"/>
      <c r="IU60" s="193"/>
      <c r="IV60" s="193"/>
    </row>
    <row r="61" spans="1:256" s="199" customFormat="1" ht="36" x14ac:dyDescent="0.3">
      <c r="A61" s="477"/>
      <c r="B61" s="16" t="s">
        <v>198</v>
      </c>
      <c r="C61" s="455" t="s">
        <v>199</v>
      </c>
      <c r="D61" s="16"/>
      <c r="E61" s="17"/>
      <c r="F61" s="17"/>
      <c r="G61" s="323"/>
      <c r="H61" s="315"/>
      <c r="I61" s="322"/>
      <c r="J61" s="315"/>
      <c r="K61" s="362">
        <v>0</v>
      </c>
      <c r="L61" s="307">
        <v>0</v>
      </c>
      <c r="M61" s="309">
        <f t="shared" si="0"/>
        <v>0</v>
      </c>
      <c r="N61" s="291">
        <v>0</v>
      </c>
      <c r="O61" s="291">
        <f>5150000-60000</f>
        <v>5090000</v>
      </c>
      <c r="P61" s="309">
        <f t="shared" si="1"/>
        <v>5090000</v>
      </c>
      <c r="Q61" s="198"/>
    </row>
    <row r="62" spans="1:256" s="193" customFormat="1" ht="31.2" x14ac:dyDescent="0.3">
      <c r="A62" s="476" t="s">
        <v>200</v>
      </c>
      <c r="B62" s="25" t="s">
        <v>201</v>
      </c>
      <c r="C62" s="455" t="s">
        <v>202</v>
      </c>
      <c r="D62" s="16">
        <v>42614</v>
      </c>
      <c r="E62" s="17" t="s">
        <v>203</v>
      </c>
      <c r="F62" s="499" t="s">
        <v>204</v>
      </c>
      <c r="G62" s="506" t="s">
        <v>153</v>
      </c>
      <c r="H62" s="315">
        <v>1500000</v>
      </c>
      <c r="I62" s="509">
        <v>9000000</v>
      </c>
      <c r="J62" s="315">
        <f>K62-H62</f>
        <v>-1500000</v>
      </c>
      <c r="K62" s="362">
        <v>0</v>
      </c>
      <c r="L62" s="307">
        <v>0</v>
      </c>
      <c r="M62" s="309">
        <f t="shared" si="0"/>
        <v>0</v>
      </c>
      <c r="N62" s="291">
        <v>0</v>
      </c>
      <c r="O62" s="291">
        <v>0</v>
      </c>
      <c r="P62" s="309">
        <f t="shared" si="1"/>
        <v>0</v>
      </c>
      <c r="Q62" s="15"/>
    </row>
    <row r="63" spans="1:256" s="193" customFormat="1" ht="31.2" x14ac:dyDescent="0.3">
      <c r="A63" s="485"/>
      <c r="B63" s="25" t="s">
        <v>205</v>
      </c>
      <c r="C63" s="455" t="s">
        <v>206</v>
      </c>
      <c r="D63" s="16">
        <v>42614</v>
      </c>
      <c r="E63" s="17" t="s">
        <v>207</v>
      </c>
      <c r="F63" s="499"/>
      <c r="G63" s="507"/>
      <c r="H63" s="315">
        <v>312000</v>
      </c>
      <c r="I63" s="509"/>
      <c r="J63" s="315">
        <v>0</v>
      </c>
      <c r="K63" s="362">
        <f t="shared" ref="K63:K68" si="3">H63</f>
        <v>312000</v>
      </c>
      <c r="L63" s="307">
        <v>0</v>
      </c>
      <c r="M63" s="309">
        <f t="shared" si="0"/>
        <v>312000</v>
      </c>
      <c r="N63" s="291">
        <v>0</v>
      </c>
      <c r="O63" s="291">
        <v>0</v>
      </c>
      <c r="P63" s="309">
        <f t="shared" si="1"/>
        <v>312000</v>
      </c>
      <c r="Q63" s="15"/>
    </row>
    <row r="64" spans="1:256" s="193" customFormat="1" ht="54" x14ac:dyDescent="0.3">
      <c r="A64" s="485"/>
      <c r="B64" s="25" t="s">
        <v>208</v>
      </c>
      <c r="C64" s="455" t="s">
        <v>209</v>
      </c>
      <c r="D64" s="16">
        <v>42461</v>
      </c>
      <c r="E64" s="17" t="s">
        <v>210</v>
      </c>
      <c r="F64" s="499"/>
      <c r="G64" s="507"/>
      <c r="H64" s="315">
        <v>354000</v>
      </c>
      <c r="I64" s="509"/>
      <c r="J64" s="315">
        <v>0</v>
      </c>
      <c r="K64" s="362">
        <f t="shared" si="3"/>
        <v>354000</v>
      </c>
      <c r="L64" s="307">
        <v>150000</v>
      </c>
      <c r="M64" s="309">
        <f t="shared" si="0"/>
        <v>204000</v>
      </c>
      <c r="N64" s="291">
        <v>0</v>
      </c>
      <c r="O64" s="291">
        <v>0</v>
      </c>
      <c r="P64" s="309">
        <f t="shared" si="1"/>
        <v>204000</v>
      </c>
      <c r="Q64" s="15"/>
    </row>
    <row r="65" spans="1:17" s="193" customFormat="1" ht="62.4" x14ac:dyDescent="0.3">
      <c r="A65" s="485"/>
      <c r="B65" s="25" t="s">
        <v>211</v>
      </c>
      <c r="C65" s="455" t="s">
        <v>212</v>
      </c>
      <c r="D65" s="16">
        <v>42461</v>
      </c>
      <c r="E65" s="17" t="s">
        <v>213</v>
      </c>
      <c r="F65" s="499"/>
      <c r="G65" s="507"/>
      <c r="H65" s="315">
        <v>15000</v>
      </c>
      <c r="I65" s="509"/>
      <c r="J65" s="315">
        <v>0</v>
      </c>
      <c r="K65" s="362">
        <f t="shared" si="3"/>
        <v>15000</v>
      </c>
      <c r="L65" s="307">
        <v>0</v>
      </c>
      <c r="M65" s="309">
        <f t="shared" si="0"/>
        <v>15000</v>
      </c>
      <c r="N65" s="291">
        <v>500000</v>
      </c>
      <c r="O65" s="291">
        <v>0</v>
      </c>
      <c r="P65" s="309">
        <f t="shared" si="1"/>
        <v>515000</v>
      </c>
      <c r="Q65" s="15"/>
    </row>
    <row r="66" spans="1:17" s="193" customFormat="1" ht="36" x14ac:dyDescent="0.3">
      <c r="A66" s="485"/>
      <c r="B66" s="25" t="s">
        <v>214</v>
      </c>
      <c r="C66" s="455" t="s">
        <v>215</v>
      </c>
      <c r="D66" s="16">
        <v>42461</v>
      </c>
      <c r="E66" s="17" t="s">
        <v>216</v>
      </c>
      <c r="F66" s="499"/>
      <c r="G66" s="507"/>
      <c r="H66" s="315">
        <v>130000</v>
      </c>
      <c r="I66" s="509"/>
      <c r="J66" s="315">
        <v>0</v>
      </c>
      <c r="K66" s="362">
        <f t="shared" si="3"/>
        <v>130000</v>
      </c>
      <c r="L66" s="307">
        <v>0</v>
      </c>
      <c r="M66" s="309">
        <f t="shared" si="0"/>
        <v>130000</v>
      </c>
      <c r="N66" s="291">
        <v>0</v>
      </c>
      <c r="O66" s="291">
        <v>0</v>
      </c>
      <c r="P66" s="309">
        <f t="shared" si="1"/>
        <v>130000</v>
      </c>
      <c r="Q66" s="15"/>
    </row>
    <row r="67" spans="1:17" s="193" customFormat="1" ht="31.2" x14ac:dyDescent="0.3">
      <c r="A67" s="485"/>
      <c r="B67" s="25" t="s">
        <v>217</v>
      </c>
      <c r="C67" s="455" t="s">
        <v>218</v>
      </c>
      <c r="D67" s="16">
        <v>42491</v>
      </c>
      <c r="E67" s="17" t="s">
        <v>219</v>
      </c>
      <c r="F67" s="499"/>
      <c r="G67" s="507"/>
      <c r="H67" s="315">
        <v>1350000</v>
      </c>
      <c r="I67" s="509"/>
      <c r="J67" s="315">
        <v>0</v>
      </c>
      <c r="K67" s="362">
        <f t="shared" si="3"/>
        <v>1350000</v>
      </c>
      <c r="L67" s="307">
        <v>0</v>
      </c>
      <c r="M67" s="309">
        <f t="shared" si="0"/>
        <v>1350000</v>
      </c>
      <c r="N67" s="291">
        <v>0</v>
      </c>
      <c r="O67" s="291">
        <v>0</v>
      </c>
      <c r="P67" s="309">
        <f>SUM(M67:O67)</f>
        <v>1350000</v>
      </c>
      <c r="Q67" s="15"/>
    </row>
    <row r="68" spans="1:17" s="193" customFormat="1" ht="36" x14ac:dyDescent="0.3">
      <c r="A68" s="485"/>
      <c r="B68" s="25" t="s">
        <v>220</v>
      </c>
      <c r="C68" s="455" t="s">
        <v>221</v>
      </c>
      <c r="D68" s="16">
        <v>42675</v>
      </c>
      <c r="E68" s="17" t="s">
        <v>222</v>
      </c>
      <c r="F68" s="499"/>
      <c r="G68" s="507"/>
      <c r="H68" s="315">
        <v>925400</v>
      </c>
      <c r="I68" s="509"/>
      <c r="J68" s="315">
        <v>0</v>
      </c>
      <c r="K68" s="362">
        <f t="shared" si="3"/>
        <v>925400</v>
      </c>
      <c r="L68" s="307">
        <v>0</v>
      </c>
      <c r="M68" s="309">
        <f t="shared" si="0"/>
        <v>925400</v>
      </c>
      <c r="N68" s="291">
        <v>0</v>
      </c>
      <c r="O68" s="291">
        <v>0</v>
      </c>
      <c r="P68" s="309">
        <f t="shared" si="1"/>
        <v>925400</v>
      </c>
      <c r="Q68" s="15"/>
    </row>
    <row r="69" spans="1:17" s="193" customFormat="1" ht="62.4" x14ac:dyDescent="0.3">
      <c r="A69" s="485"/>
      <c r="B69" s="25" t="s">
        <v>223</v>
      </c>
      <c r="C69" s="455" t="s">
        <v>224</v>
      </c>
      <c r="D69" s="16">
        <v>42583</v>
      </c>
      <c r="E69" s="17" t="s">
        <v>225</v>
      </c>
      <c r="F69" s="499" t="s">
        <v>226</v>
      </c>
      <c r="G69" s="507"/>
      <c r="H69" s="315">
        <v>7000000</v>
      </c>
      <c r="I69" s="509"/>
      <c r="J69" s="315">
        <v>0</v>
      </c>
      <c r="K69" s="362">
        <v>7000000</v>
      </c>
      <c r="L69" s="307">
        <v>0</v>
      </c>
      <c r="M69" s="309">
        <f t="shared" si="0"/>
        <v>7000000</v>
      </c>
      <c r="N69" s="291">
        <v>0</v>
      </c>
      <c r="O69" s="291">
        <v>0</v>
      </c>
      <c r="P69" s="309">
        <f t="shared" si="1"/>
        <v>7000000</v>
      </c>
      <c r="Q69" s="15"/>
    </row>
    <row r="70" spans="1:17" s="193" customFormat="1" ht="36" x14ac:dyDescent="0.3">
      <c r="A70" s="485"/>
      <c r="B70" s="25" t="s">
        <v>227</v>
      </c>
      <c r="C70" s="455" t="s">
        <v>228</v>
      </c>
      <c r="D70" s="16">
        <v>42583</v>
      </c>
      <c r="E70" s="17" t="s">
        <v>229</v>
      </c>
      <c r="F70" s="499"/>
      <c r="G70" s="507"/>
      <c r="H70" s="315">
        <v>8500000</v>
      </c>
      <c r="I70" s="509"/>
      <c r="J70" s="315">
        <v>0</v>
      </c>
      <c r="K70" s="362">
        <v>8500000</v>
      </c>
      <c r="L70" s="307">
        <v>0</v>
      </c>
      <c r="M70" s="309">
        <f t="shared" si="0"/>
        <v>8500000</v>
      </c>
      <c r="N70" s="291">
        <v>0</v>
      </c>
      <c r="O70" s="291">
        <v>0</v>
      </c>
      <c r="P70" s="309">
        <f t="shared" si="1"/>
        <v>8500000</v>
      </c>
      <c r="Q70" s="15"/>
    </row>
    <row r="71" spans="1:17" s="193" customFormat="1" ht="20.399999999999999" x14ac:dyDescent="0.3">
      <c r="A71" s="485"/>
      <c r="B71" s="25" t="s">
        <v>230</v>
      </c>
      <c r="C71" s="455" t="s">
        <v>231</v>
      </c>
      <c r="D71" s="16">
        <v>42675</v>
      </c>
      <c r="E71" s="17" t="s">
        <v>232</v>
      </c>
      <c r="F71" s="499"/>
      <c r="G71" s="507"/>
      <c r="H71" s="315">
        <v>0</v>
      </c>
      <c r="I71" s="509"/>
      <c r="J71" s="315">
        <f>K71</f>
        <v>9000000</v>
      </c>
      <c r="K71" s="362">
        <v>9000000</v>
      </c>
      <c r="L71" s="307">
        <v>2917800</v>
      </c>
      <c r="M71" s="309">
        <f t="shared" si="0"/>
        <v>6082200</v>
      </c>
      <c r="N71" s="291">
        <f>-300000-2620805-25435-25435</f>
        <v>-2971675</v>
      </c>
      <c r="O71" s="291">
        <v>0</v>
      </c>
      <c r="P71" s="309">
        <f t="shared" si="1"/>
        <v>3110525</v>
      </c>
      <c r="Q71" s="15"/>
    </row>
    <row r="72" spans="1:17" s="193" customFormat="1" ht="36" x14ac:dyDescent="0.3">
      <c r="A72" s="485"/>
      <c r="B72" s="25" t="s">
        <v>233</v>
      </c>
      <c r="C72" s="455" t="s">
        <v>234</v>
      </c>
      <c r="D72" s="16">
        <v>42644</v>
      </c>
      <c r="E72" s="17" t="s">
        <v>235</v>
      </c>
      <c r="F72" s="77" t="s">
        <v>236</v>
      </c>
      <c r="G72" s="507"/>
      <c r="H72" s="315">
        <v>950000</v>
      </c>
      <c r="I72" s="509"/>
      <c r="J72" s="315">
        <v>0</v>
      </c>
      <c r="K72" s="362">
        <v>950000</v>
      </c>
      <c r="L72" s="307">
        <v>0</v>
      </c>
      <c r="M72" s="309">
        <f t="shared" si="0"/>
        <v>950000</v>
      </c>
      <c r="N72" s="291">
        <v>300000</v>
      </c>
      <c r="O72" s="291">
        <v>0</v>
      </c>
      <c r="P72" s="309">
        <f t="shared" si="1"/>
        <v>1250000</v>
      </c>
      <c r="Q72" s="15"/>
    </row>
    <row r="73" spans="1:17" s="193" customFormat="1" ht="54" x14ac:dyDescent="0.3">
      <c r="A73" s="485"/>
      <c r="B73" s="25" t="s">
        <v>237</v>
      </c>
      <c r="C73" s="455" t="s">
        <v>238</v>
      </c>
      <c r="D73" s="16"/>
      <c r="E73" s="17" t="s">
        <v>239</v>
      </c>
      <c r="F73" s="77"/>
      <c r="G73" s="507"/>
      <c r="H73" s="315">
        <v>500000</v>
      </c>
      <c r="I73" s="509"/>
      <c r="J73" s="315">
        <v>-500000</v>
      </c>
      <c r="K73" s="362">
        <f>H73+J73</f>
        <v>0</v>
      </c>
      <c r="L73" s="307">
        <v>0</v>
      </c>
      <c r="M73" s="309">
        <f t="shared" si="0"/>
        <v>0</v>
      </c>
      <c r="N73" s="291">
        <v>0</v>
      </c>
      <c r="O73" s="291">
        <v>0</v>
      </c>
      <c r="P73" s="309">
        <f t="shared" si="1"/>
        <v>0</v>
      </c>
      <c r="Q73" s="15"/>
    </row>
    <row r="74" spans="1:17" s="199" customFormat="1" ht="36" x14ac:dyDescent="0.3">
      <c r="A74" s="477"/>
      <c r="B74" s="25" t="s">
        <v>240</v>
      </c>
      <c r="C74" s="455" t="s">
        <v>241</v>
      </c>
      <c r="D74" s="16"/>
      <c r="E74" s="17" t="s">
        <v>242</v>
      </c>
      <c r="F74" s="17"/>
      <c r="G74" s="508"/>
      <c r="H74" s="315"/>
      <c r="I74" s="509"/>
      <c r="J74" s="315"/>
      <c r="K74" s="362"/>
      <c r="L74" s="307">
        <v>0</v>
      </c>
      <c r="M74" s="309">
        <f t="shared" si="0"/>
        <v>0</v>
      </c>
      <c r="N74" s="291">
        <v>0</v>
      </c>
      <c r="O74" s="291">
        <v>14000000</v>
      </c>
      <c r="P74" s="309">
        <f>SUM(M74:O74)</f>
        <v>14000000</v>
      </c>
      <c r="Q74" s="198"/>
    </row>
    <row r="75" spans="1:17" s="199" customFormat="1" ht="90" x14ac:dyDescent="0.3">
      <c r="A75" s="94"/>
      <c r="B75" s="25" t="s">
        <v>243</v>
      </c>
      <c r="C75" s="455" t="s">
        <v>244</v>
      </c>
      <c r="D75" s="16"/>
      <c r="E75" s="17"/>
      <c r="F75" s="17"/>
      <c r="G75" s="164"/>
      <c r="H75" s="315"/>
      <c r="I75" s="324"/>
      <c r="J75" s="315"/>
      <c r="K75" s="362"/>
      <c r="L75" s="307">
        <v>0</v>
      </c>
      <c r="M75" s="309">
        <v>0</v>
      </c>
      <c r="N75" s="291">
        <v>0</v>
      </c>
      <c r="O75" s="291">
        <v>14000000</v>
      </c>
      <c r="P75" s="309">
        <v>14000000</v>
      </c>
      <c r="Q75" s="198"/>
    </row>
    <row r="76" spans="1:17" s="193" customFormat="1" ht="90" x14ac:dyDescent="0.3">
      <c r="A76" s="476" t="s">
        <v>245</v>
      </c>
      <c r="B76" s="25" t="s">
        <v>246</v>
      </c>
      <c r="C76" s="455" t="s">
        <v>247</v>
      </c>
      <c r="D76" s="24">
        <v>42614</v>
      </c>
      <c r="E76" s="499" t="s">
        <v>248</v>
      </c>
      <c r="F76" s="79" t="s">
        <v>249</v>
      </c>
      <c r="G76" s="487" t="s">
        <v>153</v>
      </c>
      <c r="H76" s="310">
        <v>85800</v>
      </c>
      <c r="I76" s="490">
        <v>30000000</v>
      </c>
      <c r="J76" s="315">
        <f>K76-H76</f>
        <v>1414200</v>
      </c>
      <c r="K76" s="362">
        <v>1500000</v>
      </c>
      <c r="L76" s="307">
        <v>423000</v>
      </c>
      <c r="M76" s="309">
        <f t="shared" si="0"/>
        <v>1077000</v>
      </c>
      <c r="N76" s="291">
        <v>0</v>
      </c>
      <c r="O76" s="291">
        <v>0</v>
      </c>
      <c r="P76" s="309">
        <f>SUM(M76:O76)</f>
        <v>1077000</v>
      </c>
      <c r="Q76" s="15"/>
    </row>
    <row r="77" spans="1:17" s="193" customFormat="1" ht="54" x14ac:dyDescent="0.3">
      <c r="A77" s="485"/>
      <c r="B77" s="25" t="s">
        <v>250</v>
      </c>
      <c r="C77" s="455" t="s">
        <v>251</v>
      </c>
      <c r="D77" s="24">
        <v>42675</v>
      </c>
      <c r="E77" s="499"/>
      <c r="F77" s="79" t="s">
        <v>252</v>
      </c>
      <c r="G77" s="488"/>
      <c r="H77" s="310">
        <v>2386600</v>
      </c>
      <c r="I77" s="491"/>
      <c r="J77" s="315">
        <f>K77-H77</f>
        <v>0</v>
      </c>
      <c r="K77" s="362">
        <v>2386600</v>
      </c>
      <c r="L77" s="307">
        <v>138200</v>
      </c>
      <c r="M77" s="309">
        <f t="shared" ref="M77:M91" si="4">K77-L77</f>
        <v>2248400</v>
      </c>
      <c r="N77" s="291">
        <v>0</v>
      </c>
      <c r="O77" s="291">
        <v>0</v>
      </c>
      <c r="P77" s="309">
        <f t="shared" si="1"/>
        <v>2248400</v>
      </c>
      <c r="Q77" s="15"/>
    </row>
    <row r="78" spans="1:17" s="193" customFormat="1" ht="54" x14ac:dyDescent="0.3">
      <c r="A78" s="485"/>
      <c r="B78" s="25" t="s">
        <v>253</v>
      </c>
      <c r="C78" s="455" t="s">
        <v>254</v>
      </c>
      <c r="D78" s="24">
        <v>42552</v>
      </c>
      <c r="E78" s="17" t="s">
        <v>255</v>
      </c>
      <c r="F78" s="79" t="s">
        <v>153</v>
      </c>
      <c r="G78" s="488"/>
      <c r="H78" s="310">
        <v>2000000</v>
      </c>
      <c r="I78" s="491"/>
      <c r="J78" s="315">
        <f>K78-H78</f>
        <v>0</v>
      </c>
      <c r="K78" s="362">
        <v>2000000</v>
      </c>
      <c r="L78" s="307">
        <v>1749200</v>
      </c>
      <c r="M78" s="309">
        <f t="shared" si="4"/>
        <v>250800</v>
      </c>
      <c r="N78" s="291">
        <v>0</v>
      </c>
      <c r="O78" s="291">
        <v>0</v>
      </c>
      <c r="P78" s="309">
        <f t="shared" ref="P78:P90" si="5">SUM(M78:O78)</f>
        <v>250800</v>
      </c>
      <c r="Q78" s="15"/>
    </row>
    <row r="79" spans="1:17" s="193" customFormat="1" ht="36" x14ac:dyDescent="0.3">
      <c r="A79" s="485"/>
      <c r="B79" s="25" t="s">
        <v>256</v>
      </c>
      <c r="C79" s="455" t="s">
        <v>257</v>
      </c>
      <c r="D79" s="24">
        <v>42583</v>
      </c>
      <c r="E79" s="17" t="s">
        <v>258</v>
      </c>
      <c r="F79" s="79" t="s">
        <v>259</v>
      </c>
      <c r="G79" s="488"/>
      <c r="H79" s="310">
        <v>1665336</v>
      </c>
      <c r="I79" s="491"/>
      <c r="J79" s="315">
        <f>K79-H79</f>
        <v>2273429</v>
      </c>
      <c r="K79" s="362">
        <v>3938765</v>
      </c>
      <c r="L79" s="307">
        <f>3279785+25435</f>
        <v>3305220</v>
      </c>
      <c r="M79" s="309">
        <f t="shared" si="4"/>
        <v>633545</v>
      </c>
      <c r="N79" s="291">
        <f>2620805+25435+25435</f>
        <v>2671675</v>
      </c>
      <c r="O79" s="291">
        <v>0</v>
      </c>
      <c r="P79" s="309">
        <f t="shared" si="5"/>
        <v>3305220</v>
      </c>
      <c r="Q79" s="15"/>
    </row>
    <row r="80" spans="1:17" s="193" customFormat="1" ht="54" x14ac:dyDescent="0.3">
      <c r="A80" s="485"/>
      <c r="B80" s="25" t="s">
        <v>260</v>
      </c>
      <c r="C80" s="455" t="s">
        <v>261</v>
      </c>
      <c r="D80" s="24">
        <v>42614</v>
      </c>
      <c r="E80" s="17"/>
      <c r="F80" s="79"/>
      <c r="G80" s="488"/>
      <c r="H80" s="310"/>
      <c r="I80" s="491"/>
      <c r="J80" s="315" t="s">
        <v>262</v>
      </c>
      <c r="K80" s="362">
        <v>1000000</v>
      </c>
      <c r="L80" s="307">
        <v>0</v>
      </c>
      <c r="M80" s="309">
        <f t="shared" si="4"/>
        <v>1000000</v>
      </c>
      <c r="N80" s="291">
        <v>0</v>
      </c>
      <c r="O80" s="291">
        <v>0</v>
      </c>
      <c r="P80" s="309">
        <f t="shared" si="5"/>
        <v>1000000</v>
      </c>
      <c r="Q80" s="15"/>
    </row>
    <row r="81" spans="1:18" s="193" customFormat="1" ht="54" x14ac:dyDescent="0.3">
      <c r="A81" s="485"/>
      <c r="B81" s="25" t="s">
        <v>263</v>
      </c>
      <c r="C81" s="455" t="s">
        <v>261</v>
      </c>
      <c r="D81" s="24">
        <v>42644</v>
      </c>
      <c r="E81" s="17" t="s">
        <v>264</v>
      </c>
      <c r="F81" s="79" t="s">
        <v>265</v>
      </c>
      <c r="G81" s="488"/>
      <c r="H81" s="310">
        <v>0</v>
      </c>
      <c r="I81" s="491"/>
      <c r="J81" s="315">
        <f>K81</f>
        <v>1000000</v>
      </c>
      <c r="K81" s="362">
        <v>1000000</v>
      </c>
      <c r="L81" s="307">
        <v>0</v>
      </c>
      <c r="M81" s="309">
        <f t="shared" si="4"/>
        <v>1000000</v>
      </c>
      <c r="N81" s="291">
        <v>0</v>
      </c>
      <c r="O81" s="291">
        <v>0</v>
      </c>
      <c r="P81" s="309">
        <f t="shared" si="5"/>
        <v>1000000</v>
      </c>
      <c r="Q81" s="15"/>
    </row>
    <row r="82" spans="1:18" s="193" customFormat="1" ht="31.2" x14ac:dyDescent="0.3">
      <c r="A82" s="485"/>
      <c r="B82" s="25" t="s">
        <v>266</v>
      </c>
      <c r="C82" s="455" t="s">
        <v>267</v>
      </c>
      <c r="D82" s="24"/>
      <c r="E82" s="17" t="s">
        <v>268</v>
      </c>
      <c r="F82" s="79"/>
      <c r="G82" s="325"/>
      <c r="H82" s="310">
        <v>300000</v>
      </c>
      <c r="I82" s="491"/>
      <c r="J82" s="315">
        <v>-300000</v>
      </c>
      <c r="K82" s="362">
        <v>0</v>
      </c>
      <c r="L82" s="307">
        <v>0</v>
      </c>
      <c r="M82" s="309">
        <f t="shared" si="4"/>
        <v>0</v>
      </c>
      <c r="N82" s="291">
        <v>0</v>
      </c>
      <c r="O82" s="291">
        <v>0</v>
      </c>
      <c r="P82" s="309">
        <f t="shared" si="5"/>
        <v>0</v>
      </c>
      <c r="Q82" s="15"/>
    </row>
    <row r="83" spans="1:18" s="193" customFormat="1" ht="31.2" x14ac:dyDescent="0.3">
      <c r="A83" s="485"/>
      <c r="B83" s="25" t="s">
        <v>269</v>
      </c>
      <c r="C83" s="455" t="s">
        <v>270</v>
      </c>
      <c r="D83" s="24"/>
      <c r="E83" s="17" t="s">
        <v>268</v>
      </c>
      <c r="F83" s="79" t="s">
        <v>242</v>
      </c>
      <c r="G83" s="325"/>
      <c r="H83" s="310">
        <v>1500000</v>
      </c>
      <c r="I83" s="502"/>
      <c r="J83" s="315">
        <v>-1500000</v>
      </c>
      <c r="K83" s="362">
        <f>J83+H83</f>
        <v>0</v>
      </c>
      <c r="L83" s="307">
        <v>0</v>
      </c>
      <c r="M83" s="309">
        <f t="shared" si="4"/>
        <v>0</v>
      </c>
      <c r="N83" s="291">
        <v>0</v>
      </c>
      <c r="O83" s="291">
        <v>0</v>
      </c>
      <c r="P83" s="309">
        <f t="shared" si="5"/>
        <v>0</v>
      </c>
      <c r="Q83" s="15"/>
    </row>
    <row r="84" spans="1:18" s="193" customFormat="1" ht="396" x14ac:dyDescent="0.3">
      <c r="A84" s="476" t="s">
        <v>271</v>
      </c>
      <c r="B84" s="25" t="s">
        <v>272</v>
      </c>
      <c r="C84" s="455" t="s">
        <v>273</v>
      </c>
      <c r="D84" s="24">
        <v>42705</v>
      </c>
      <c r="E84" s="499" t="s">
        <v>274</v>
      </c>
      <c r="F84" s="520" t="s">
        <v>275</v>
      </c>
      <c r="G84" s="487" t="s">
        <v>153</v>
      </c>
      <c r="H84" s="310">
        <v>10000000</v>
      </c>
      <c r="I84" s="490">
        <v>5000000</v>
      </c>
      <c r="J84" s="315">
        <v>-1000000</v>
      </c>
      <c r="K84" s="362">
        <f>H84+J84</f>
        <v>9000000</v>
      </c>
      <c r="L84" s="307">
        <v>0</v>
      </c>
      <c r="M84" s="309">
        <f t="shared" si="4"/>
        <v>9000000</v>
      </c>
      <c r="N84" s="291">
        <v>5611900</v>
      </c>
      <c r="O84" s="291">
        <v>9000000</v>
      </c>
      <c r="P84" s="309">
        <f t="shared" si="5"/>
        <v>23611900</v>
      </c>
      <c r="Q84" s="15"/>
    </row>
    <row r="85" spans="1:18" s="193" customFormat="1" ht="162" x14ac:dyDescent="0.3">
      <c r="A85" s="485"/>
      <c r="B85" s="25" t="s">
        <v>276</v>
      </c>
      <c r="C85" s="455" t="s">
        <v>277</v>
      </c>
      <c r="D85" s="24">
        <v>42705</v>
      </c>
      <c r="E85" s="499"/>
      <c r="F85" s="520"/>
      <c r="G85" s="488"/>
      <c r="H85" s="310">
        <v>-660020</v>
      </c>
      <c r="I85" s="491"/>
      <c r="J85" s="315"/>
      <c r="K85" s="362">
        <v>4000000</v>
      </c>
      <c r="L85" s="307">
        <v>0</v>
      </c>
      <c r="M85" s="309">
        <f t="shared" si="4"/>
        <v>4000000</v>
      </c>
      <c r="N85" s="291">
        <v>0</v>
      </c>
      <c r="O85" s="291">
        <v>0</v>
      </c>
      <c r="P85" s="309">
        <f t="shared" si="5"/>
        <v>4000000</v>
      </c>
      <c r="Q85" s="15"/>
    </row>
    <row r="86" spans="1:18" s="193" customFormat="1" ht="54" x14ac:dyDescent="0.3">
      <c r="A86" s="485"/>
      <c r="B86" s="25" t="s">
        <v>278</v>
      </c>
      <c r="C86" s="455" t="s">
        <v>279</v>
      </c>
      <c r="D86" s="24">
        <v>42705</v>
      </c>
      <c r="E86" s="499"/>
      <c r="F86" s="503" t="s">
        <v>280</v>
      </c>
      <c r="G86" s="488"/>
      <c r="H86" s="310">
        <v>7500000</v>
      </c>
      <c r="I86" s="491"/>
      <c r="J86" s="315">
        <f>K86-H86</f>
        <v>0</v>
      </c>
      <c r="K86" s="362">
        <f>7500000</f>
        <v>7500000</v>
      </c>
      <c r="L86" s="307">
        <v>1888100</v>
      </c>
      <c r="M86" s="309">
        <f t="shared" si="4"/>
        <v>5611900</v>
      </c>
      <c r="N86" s="291">
        <v>-5611900</v>
      </c>
      <c r="O86" s="291">
        <v>0</v>
      </c>
      <c r="P86" s="309">
        <f t="shared" si="5"/>
        <v>0</v>
      </c>
      <c r="Q86" s="15"/>
    </row>
    <row r="87" spans="1:18" s="193" customFormat="1" ht="36" x14ac:dyDescent="0.3">
      <c r="A87" s="485"/>
      <c r="B87" s="25" t="s">
        <v>281</v>
      </c>
      <c r="C87" s="455" t="s">
        <v>143</v>
      </c>
      <c r="D87" s="24">
        <v>42705</v>
      </c>
      <c r="E87" s="499"/>
      <c r="F87" s="504"/>
      <c r="G87" s="488"/>
      <c r="H87" s="310">
        <v>1355800</v>
      </c>
      <c r="I87" s="491"/>
      <c r="J87" s="315">
        <f>K87-H87</f>
        <v>-355800</v>
      </c>
      <c r="K87" s="362">
        <v>1000000</v>
      </c>
      <c r="L87" s="307">
        <v>0</v>
      </c>
      <c r="M87" s="309">
        <f t="shared" si="4"/>
        <v>1000000</v>
      </c>
      <c r="N87" s="291">
        <v>-500000</v>
      </c>
      <c r="O87" s="291">
        <v>0</v>
      </c>
      <c r="P87" s="309">
        <f t="shared" si="5"/>
        <v>500000</v>
      </c>
      <c r="Q87" s="15"/>
    </row>
    <row r="88" spans="1:18" s="193" customFormat="1" ht="36" x14ac:dyDescent="0.3">
      <c r="A88" s="485"/>
      <c r="B88" s="25" t="s">
        <v>282</v>
      </c>
      <c r="C88" s="455" t="s">
        <v>283</v>
      </c>
      <c r="D88" s="24">
        <v>42644</v>
      </c>
      <c r="E88" s="17" t="s">
        <v>136</v>
      </c>
      <c r="F88" s="504"/>
      <c r="G88" s="488"/>
      <c r="H88" s="310">
        <v>0</v>
      </c>
      <c r="I88" s="491"/>
      <c r="J88" s="315">
        <v>500000</v>
      </c>
      <c r="K88" s="362">
        <v>500000</v>
      </c>
      <c r="L88" s="307">
        <v>500000</v>
      </c>
      <c r="M88" s="309">
        <f t="shared" si="4"/>
        <v>0</v>
      </c>
      <c r="N88" s="291">
        <v>0</v>
      </c>
      <c r="O88" s="291">
        <v>0</v>
      </c>
      <c r="P88" s="309">
        <f t="shared" si="5"/>
        <v>0</v>
      </c>
      <c r="Q88" s="15"/>
      <c r="R88" s="200"/>
    </row>
    <row r="89" spans="1:18" s="193" customFormat="1" ht="31.2" x14ac:dyDescent="0.3">
      <c r="A89" s="485"/>
      <c r="B89" s="25" t="s">
        <v>284</v>
      </c>
      <c r="C89" s="455" t="s">
        <v>285</v>
      </c>
      <c r="D89" s="24">
        <v>42614</v>
      </c>
      <c r="E89" s="17" t="s">
        <v>99</v>
      </c>
      <c r="F89" s="505"/>
      <c r="G89" s="489"/>
      <c r="H89" s="310">
        <v>0</v>
      </c>
      <c r="I89" s="502"/>
      <c r="J89" s="315">
        <f>K89</f>
        <v>650000</v>
      </c>
      <c r="K89" s="362">
        <v>650000</v>
      </c>
      <c r="L89" s="307">
        <v>0</v>
      </c>
      <c r="M89" s="309">
        <f t="shared" si="4"/>
        <v>650000</v>
      </c>
      <c r="N89" s="291">
        <v>0</v>
      </c>
      <c r="O89" s="291">
        <v>0</v>
      </c>
      <c r="P89" s="309">
        <f t="shared" si="5"/>
        <v>650000</v>
      </c>
      <c r="Q89" s="15"/>
      <c r="R89" s="200"/>
    </row>
    <row r="90" spans="1:18" s="193" customFormat="1" ht="36" x14ac:dyDescent="0.3">
      <c r="A90" s="485"/>
      <c r="B90" s="25" t="s">
        <v>286</v>
      </c>
      <c r="C90" s="455" t="s">
        <v>287</v>
      </c>
      <c r="D90" s="24"/>
      <c r="E90" s="25" t="s">
        <v>288</v>
      </c>
      <c r="F90" s="104"/>
      <c r="G90" s="321"/>
      <c r="H90" s="310">
        <v>-1932500</v>
      </c>
      <c r="I90" s="306"/>
      <c r="J90" s="315"/>
      <c r="K90" s="362">
        <v>0</v>
      </c>
      <c r="L90" s="307">
        <v>0</v>
      </c>
      <c r="M90" s="309">
        <f t="shared" si="4"/>
        <v>0</v>
      </c>
      <c r="N90" s="291">
        <v>0</v>
      </c>
      <c r="O90" s="291">
        <v>0</v>
      </c>
      <c r="P90" s="309">
        <f t="shared" si="5"/>
        <v>0</v>
      </c>
      <c r="Q90" s="15"/>
      <c r="R90" s="200"/>
    </row>
    <row r="91" spans="1:18" s="199" customFormat="1" ht="198.6" thickBot="1" x14ac:dyDescent="0.35">
      <c r="A91" s="477"/>
      <c r="B91" s="25" t="s">
        <v>288</v>
      </c>
      <c r="C91" s="455" t="s">
        <v>289</v>
      </c>
      <c r="D91" s="24"/>
      <c r="E91" s="25"/>
      <c r="F91" s="79"/>
      <c r="G91" s="323"/>
      <c r="H91" s="310"/>
      <c r="I91" s="314"/>
      <c r="J91" s="315"/>
      <c r="K91" s="361"/>
      <c r="L91" s="307">
        <v>0</v>
      </c>
      <c r="M91" s="309">
        <f t="shared" si="4"/>
        <v>0</v>
      </c>
      <c r="N91" s="291">
        <v>0</v>
      </c>
      <c r="O91" s="326">
        <v>0</v>
      </c>
      <c r="P91" s="327">
        <f>SUM(M91:O91)</f>
        <v>0</v>
      </c>
      <c r="Q91" s="198"/>
    </row>
    <row r="92" spans="1:18" s="193" customFormat="1" ht="35.4" thickBot="1" x14ac:dyDescent="0.55000000000000004">
      <c r="A92" s="510" t="s">
        <v>290</v>
      </c>
      <c r="B92" s="511"/>
      <c r="C92" s="511"/>
      <c r="D92" s="511"/>
      <c r="E92" s="511"/>
      <c r="F92" s="511"/>
      <c r="G92" s="512"/>
      <c r="H92" s="328">
        <f>SUM(H9:H91)</f>
        <v>212018028</v>
      </c>
      <c r="I92" s="329">
        <f>SUM(I9:I91)</f>
        <v>92000000</v>
      </c>
      <c r="J92" s="330"/>
      <c r="K92" s="331">
        <f>SUM(K9:K91)</f>
        <v>301718028</v>
      </c>
      <c r="L92" s="332">
        <f>SUM(L9:L91)</f>
        <v>107347798</v>
      </c>
      <c r="M92" s="332">
        <f>SUM(M9:M91)</f>
        <v>194370230</v>
      </c>
      <c r="N92" s="332">
        <f>SUM(N9:N91)</f>
        <v>0</v>
      </c>
      <c r="O92" s="332">
        <f>SUM(O9:O91)</f>
        <v>80740000</v>
      </c>
      <c r="P92" s="333">
        <f>SUM(M92:O92)</f>
        <v>275110230</v>
      </c>
      <c r="Q92" s="201"/>
    </row>
    <row r="93" spans="1:18" s="193" customFormat="1" ht="30.6" thickBot="1" x14ac:dyDescent="0.55000000000000004">
      <c r="A93" s="334"/>
      <c r="B93" s="335"/>
      <c r="C93" s="335"/>
      <c r="D93" s="336"/>
      <c r="E93" s="337"/>
      <c r="F93" s="336"/>
      <c r="G93" s="338"/>
      <c r="H93" s="339" t="e">
        <f>#REF!-#REF!</f>
        <v>#REF!</v>
      </c>
      <c r="I93" s="340"/>
      <c r="J93" s="340"/>
      <c r="K93" s="341"/>
      <c r="L93" s="290"/>
      <c r="M93" s="342"/>
      <c r="N93" s="187"/>
      <c r="O93" s="343"/>
      <c r="P93" s="343"/>
      <c r="Q93" s="202"/>
    </row>
    <row r="94" spans="1:18" s="193" customFormat="1" ht="47.25" customHeight="1" thickBot="1" x14ac:dyDescent="0.4">
      <c r="A94" s="344" t="s">
        <v>291</v>
      </c>
      <c r="B94" s="345"/>
      <c r="C94" s="456"/>
      <c r="D94" s="345"/>
      <c r="E94" s="345"/>
      <c r="F94" s="345"/>
      <c r="G94" s="345"/>
      <c r="H94" s="345"/>
      <c r="I94" s="345"/>
      <c r="J94" s="345"/>
      <c r="K94" s="345"/>
      <c r="L94" s="290"/>
      <c r="M94" s="345"/>
      <c r="N94" s="345"/>
      <c r="O94" s="345"/>
      <c r="P94" s="345"/>
      <c r="Q94" s="202"/>
    </row>
    <row r="95" spans="1:18" s="193" customFormat="1" ht="70.8" thickTop="1" thickBot="1" x14ac:dyDescent="0.35">
      <c r="A95" s="294" t="s">
        <v>4</v>
      </c>
      <c r="B95" s="295" t="s">
        <v>5</v>
      </c>
      <c r="C95" s="454" t="s">
        <v>6</v>
      </c>
      <c r="D95" s="297" t="s">
        <v>7</v>
      </c>
      <c r="E95" s="298" t="s">
        <v>8</v>
      </c>
      <c r="F95" s="299" t="s">
        <v>9</v>
      </c>
      <c r="G95" s="300" t="s">
        <v>10</v>
      </c>
      <c r="H95" s="301" t="s">
        <v>11</v>
      </c>
      <c r="I95" s="302" t="s">
        <v>12</v>
      </c>
      <c r="J95" s="302" t="s">
        <v>13</v>
      </c>
      <c r="K95" s="303" t="s">
        <v>14</v>
      </c>
      <c r="L95" s="188" t="s">
        <v>15</v>
      </c>
      <c r="M95" s="304" t="s">
        <v>16</v>
      </c>
      <c r="N95" s="188" t="s">
        <v>292</v>
      </c>
      <c r="O95" s="304" t="s">
        <v>18</v>
      </c>
      <c r="P95" s="304" t="s">
        <v>19</v>
      </c>
    </row>
    <row r="96" spans="1:18" s="193" customFormat="1" ht="48" thickTop="1" thickBot="1" x14ac:dyDescent="0.35">
      <c r="A96" s="513" t="s">
        <v>293</v>
      </c>
      <c r="B96" s="84" t="s">
        <v>294</v>
      </c>
      <c r="C96" s="105" t="s">
        <v>295</v>
      </c>
      <c r="D96" s="285">
        <v>42675</v>
      </c>
      <c r="E96" s="106" t="s">
        <v>296</v>
      </c>
      <c r="F96" s="107" t="s">
        <v>297</v>
      </c>
      <c r="G96" s="108" t="s">
        <v>298</v>
      </c>
      <c r="H96" s="109">
        <v>1999900</v>
      </c>
      <c r="I96" s="110"/>
      <c r="J96" s="111">
        <f>1999100-500000</f>
        <v>1499100</v>
      </c>
      <c r="K96" s="292">
        <f t="shared" ref="K96:K106" si="6">H96+J96</f>
        <v>3499000</v>
      </c>
      <c r="L96" s="290">
        <v>100000</v>
      </c>
      <c r="M96" s="291">
        <f>K96-L96</f>
        <v>3399000</v>
      </c>
      <c r="N96" s="291">
        <v>0</v>
      </c>
      <c r="O96" s="291">
        <v>0</v>
      </c>
      <c r="P96" s="291">
        <f>SUM(M96:O96)</f>
        <v>3399000</v>
      </c>
      <c r="Q96" s="203"/>
    </row>
    <row r="97" spans="1:17" s="193" customFormat="1" ht="21" thickBot="1" x14ac:dyDescent="0.35">
      <c r="A97" s="514"/>
      <c r="B97" s="84" t="s">
        <v>299</v>
      </c>
      <c r="C97" s="113" t="s">
        <v>300</v>
      </c>
      <c r="D97" s="285">
        <v>42675</v>
      </c>
      <c r="E97" s="114" t="s">
        <v>301</v>
      </c>
      <c r="F97" s="107" t="s">
        <v>297</v>
      </c>
      <c r="G97" s="108" t="s">
        <v>298</v>
      </c>
      <c r="H97" s="109">
        <v>0</v>
      </c>
      <c r="I97" s="110"/>
      <c r="J97" s="111">
        <v>500000</v>
      </c>
      <c r="K97" s="292">
        <f t="shared" si="6"/>
        <v>500000</v>
      </c>
      <c r="L97" s="290">
        <f>600000-100000</f>
        <v>500000</v>
      </c>
      <c r="M97" s="291">
        <f t="shared" ref="M97:M147" si="7">K97-L97</f>
        <v>0</v>
      </c>
      <c r="N97" s="291">
        <v>0</v>
      </c>
      <c r="O97" s="291">
        <v>0</v>
      </c>
      <c r="P97" s="291">
        <f t="shared" ref="P97:P148" si="8">SUM(M97:O97)</f>
        <v>0</v>
      </c>
      <c r="Q97" s="203"/>
    </row>
    <row r="98" spans="1:17" s="196" customFormat="1" ht="31.8" thickBot="1" x14ac:dyDescent="0.35">
      <c r="A98" s="514"/>
      <c r="B98" s="84" t="s">
        <v>302</v>
      </c>
      <c r="C98" s="115" t="s">
        <v>303</v>
      </c>
      <c r="D98" s="346">
        <v>42552</v>
      </c>
      <c r="E98" s="20" t="s">
        <v>304</v>
      </c>
      <c r="F98" s="21" t="s">
        <v>297</v>
      </c>
      <c r="G98" s="116" t="s">
        <v>305</v>
      </c>
      <c r="H98" s="93">
        <v>5554800</v>
      </c>
      <c r="I98" s="110"/>
      <c r="J98" s="112">
        <v>-958522</v>
      </c>
      <c r="K98" s="292">
        <f t="shared" si="6"/>
        <v>4596278</v>
      </c>
      <c r="L98" s="290">
        <v>2574200</v>
      </c>
      <c r="M98" s="291">
        <f t="shared" si="7"/>
        <v>2022078</v>
      </c>
      <c r="N98" s="291">
        <v>0</v>
      </c>
      <c r="O98" s="291">
        <v>2000000</v>
      </c>
      <c r="P98" s="291">
        <f t="shared" si="8"/>
        <v>4022078</v>
      </c>
      <c r="Q98" s="204"/>
    </row>
    <row r="99" spans="1:17" s="196" customFormat="1" ht="31.2" x14ac:dyDescent="0.3">
      <c r="A99" s="514"/>
      <c r="B99" s="84" t="s">
        <v>306</v>
      </c>
      <c r="C99" s="115" t="s">
        <v>307</v>
      </c>
      <c r="D99" s="19">
        <v>42614</v>
      </c>
      <c r="E99" s="20" t="s">
        <v>308</v>
      </c>
      <c r="F99" s="21" t="s">
        <v>309</v>
      </c>
      <c r="G99" s="22" t="s">
        <v>298</v>
      </c>
      <c r="H99" s="93">
        <v>2370000</v>
      </c>
      <c r="I99" s="110"/>
      <c r="J99" s="112">
        <v>-807862</v>
      </c>
      <c r="K99" s="292">
        <f t="shared" si="6"/>
        <v>1562138</v>
      </c>
      <c r="L99" s="290">
        <v>1499400</v>
      </c>
      <c r="M99" s="291">
        <f t="shared" si="7"/>
        <v>62738</v>
      </c>
      <c r="N99" s="291">
        <v>0</v>
      </c>
      <c r="O99" s="291">
        <v>1500000</v>
      </c>
      <c r="P99" s="291">
        <f t="shared" si="8"/>
        <v>1562738</v>
      </c>
      <c r="Q99" s="204"/>
    </row>
    <row r="100" spans="1:17" s="196" customFormat="1" ht="31.2" x14ac:dyDescent="0.3">
      <c r="A100" s="514"/>
      <c r="B100" s="84" t="s">
        <v>310</v>
      </c>
      <c r="C100" s="117" t="s">
        <v>311</v>
      </c>
      <c r="D100" s="19">
        <v>42644</v>
      </c>
      <c r="E100" s="20" t="s">
        <v>312</v>
      </c>
      <c r="F100" s="21" t="s">
        <v>313</v>
      </c>
      <c r="G100" s="22" t="s">
        <v>298</v>
      </c>
      <c r="H100" s="93">
        <v>3000000</v>
      </c>
      <c r="I100" s="110"/>
      <c r="J100" s="112">
        <v>0</v>
      </c>
      <c r="K100" s="292">
        <f t="shared" si="6"/>
        <v>3000000</v>
      </c>
      <c r="L100" s="290">
        <v>2643000</v>
      </c>
      <c r="M100" s="291">
        <f t="shared" si="7"/>
        <v>357000</v>
      </c>
      <c r="N100" s="291">
        <v>-357000</v>
      </c>
      <c r="O100" s="291">
        <v>0</v>
      </c>
      <c r="P100" s="291">
        <v>0</v>
      </c>
      <c r="Q100" s="204"/>
    </row>
    <row r="101" spans="1:17" s="196" customFormat="1" ht="62.4" x14ac:dyDescent="0.3">
      <c r="A101" s="514"/>
      <c r="B101" s="84" t="s">
        <v>314</v>
      </c>
      <c r="C101" s="117" t="s">
        <v>315</v>
      </c>
      <c r="D101" s="19">
        <v>42644</v>
      </c>
      <c r="E101" s="20" t="s">
        <v>316</v>
      </c>
      <c r="F101" s="21" t="s">
        <v>313</v>
      </c>
      <c r="G101" s="22" t="s">
        <v>298</v>
      </c>
      <c r="H101" s="93">
        <v>-1254100</v>
      </c>
      <c r="I101" s="110"/>
      <c r="J101" s="112">
        <v>4254100</v>
      </c>
      <c r="K101" s="292">
        <f t="shared" si="6"/>
        <v>3000000</v>
      </c>
      <c r="L101" s="290">
        <v>2627000</v>
      </c>
      <c r="M101" s="291">
        <f t="shared" si="7"/>
        <v>373000</v>
      </c>
      <c r="N101" s="291">
        <v>-373000</v>
      </c>
      <c r="O101" s="291">
        <v>0</v>
      </c>
      <c r="P101" s="291">
        <f t="shared" si="8"/>
        <v>0</v>
      </c>
      <c r="Q101" s="204"/>
    </row>
    <row r="102" spans="1:17" s="196" customFormat="1" ht="46.8" x14ac:dyDescent="0.3">
      <c r="A102" s="514"/>
      <c r="B102" s="84" t="s">
        <v>317</v>
      </c>
      <c r="C102" s="18" t="s">
        <v>318</v>
      </c>
      <c r="D102" s="19">
        <v>42644</v>
      </c>
      <c r="E102" s="20" t="s">
        <v>319</v>
      </c>
      <c r="F102" s="21" t="s">
        <v>313</v>
      </c>
      <c r="G102" s="22" t="s">
        <v>298</v>
      </c>
      <c r="H102" s="93">
        <v>5000000</v>
      </c>
      <c r="I102" s="110"/>
      <c r="J102" s="112">
        <v>0</v>
      </c>
      <c r="K102" s="292">
        <f t="shared" si="6"/>
        <v>5000000</v>
      </c>
      <c r="L102" s="290">
        <v>3862100</v>
      </c>
      <c r="M102" s="291">
        <f t="shared" si="7"/>
        <v>1137900</v>
      </c>
      <c r="N102" s="291">
        <v>373000</v>
      </c>
      <c r="O102" s="291">
        <v>0</v>
      </c>
      <c r="P102" s="291">
        <f t="shared" si="8"/>
        <v>1510900</v>
      </c>
      <c r="Q102" s="204"/>
    </row>
    <row r="103" spans="1:17" s="206" customFormat="1" ht="31.2" x14ac:dyDescent="0.3">
      <c r="A103" s="514"/>
      <c r="B103" s="84" t="s">
        <v>320</v>
      </c>
      <c r="C103" s="113" t="s">
        <v>321</v>
      </c>
      <c r="D103" s="19">
        <v>42522</v>
      </c>
      <c r="E103" s="20" t="s">
        <v>322</v>
      </c>
      <c r="F103" s="21" t="s">
        <v>313</v>
      </c>
      <c r="G103" s="22" t="s">
        <v>298</v>
      </c>
      <c r="H103" s="93">
        <v>1350000</v>
      </c>
      <c r="I103" s="110"/>
      <c r="J103" s="112">
        <v>150000</v>
      </c>
      <c r="K103" s="292">
        <f t="shared" si="6"/>
        <v>1500000</v>
      </c>
      <c r="L103" s="290">
        <v>450000</v>
      </c>
      <c r="M103" s="291">
        <f t="shared" si="7"/>
        <v>1050000</v>
      </c>
      <c r="N103" s="291">
        <v>710000</v>
      </c>
      <c r="O103" s="291">
        <v>0</v>
      </c>
      <c r="P103" s="291">
        <f t="shared" si="8"/>
        <v>1760000</v>
      </c>
      <c r="Q103" s="205"/>
    </row>
    <row r="104" spans="1:17" s="206" customFormat="1" ht="31.2" x14ac:dyDescent="0.3">
      <c r="A104" s="514"/>
      <c r="B104" s="84" t="s">
        <v>323</v>
      </c>
      <c r="C104" s="18" t="s">
        <v>324</v>
      </c>
      <c r="D104" s="118">
        <v>42675</v>
      </c>
      <c r="E104" s="20" t="s">
        <v>325</v>
      </c>
      <c r="F104" s="21" t="s">
        <v>313</v>
      </c>
      <c r="G104" s="22" t="s">
        <v>298</v>
      </c>
      <c r="H104" s="93">
        <v>10000000</v>
      </c>
      <c r="I104" s="110"/>
      <c r="J104" s="112">
        <v>0</v>
      </c>
      <c r="K104" s="292">
        <f t="shared" si="6"/>
        <v>10000000</v>
      </c>
      <c r="L104" s="290">
        <v>0</v>
      </c>
      <c r="M104" s="291">
        <f t="shared" si="7"/>
        <v>10000000</v>
      </c>
      <c r="N104" s="291">
        <v>9000000</v>
      </c>
      <c r="O104" s="291">
        <v>20000000</v>
      </c>
      <c r="P104" s="291">
        <f t="shared" si="8"/>
        <v>39000000</v>
      </c>
      <c r="Q104" s="205"/>
    </row>
    <row r="105" spans="1:17" s="193" customFormat="1" ht="31.2" x14ac:dyDescent="0.3">
      <c r="A105" s="514"/>
      <c r="B105" s="84" t="s">
        <v>326</v>
      </c>
      <c r="C105" s="80" t="s">
        <v>327</v>
      </c>
      <c r="D105" s="24">
        <v>42675</v>
      </c>
      <c r="E105" s="81" t="s">
        <v>328</v>
      </c>
      <c r="F105" s="82" t="s">
        <v>313</v>
      </c>
      <c r="G105" s="22" t="s">
        <v>298</v>
      </c>
      <c r="H105" s="93">
        <v>1000000</v>
      </c>
      <c r="I105" s="110"/>
      <c r="J105" s="112">
        <v>500000</v>
      </c>
      <c r="K105" s="292">
        <f t="shared" si="6"/>
        <v>1500000</v>
      </c>
      <c r="L105" s="290">
        <v>0</v>
      </c>
      <c r="M105" s="291">
        <f t="shared" si="7"/>
        <v>1500000</v>
      </c>
      <c r="N105" s="291">
        <v>0</v>
      </c>
      <c r="O105" s="291">
        <v>0</v>
      </c>
      <c r="P105" s="291">
        <f t="shared" si="8"/>
        <v>1500000</v>
      </c>
      <c r="Q105" s="203"/>
    </row>
    <row r="106" spans="1:17" s="193" customFormat="1" ht="62.4" x14ac:dyDescent="0.3">
      <c r="A106" s="514"/>
      <c r="B106" s="84" t="s">
        <v>329</v>
      </c>
      <c r="C106" s="80" t="s">
        <v>330</v>
      </c>
      <c r="D106" s="24" t="s">
        <v>331</v>
      </c>
      <c r="E106" s="81" t="s">
        <v>332</v>
      </c>
      <c r="F106" s="82" t="s">
        <v>313</v>
      </c>
      <c r="G106" s="22" t="s">
        <v>298</v>
      </c>
      <c r="H106" s="93">
        <v>1750000</v>
      </c>
      <c r="I106" s="110"/>
      <c r="J106" s="112">
        <v>0</v>
      </c>
      <c r="K106" s="292">
        <f t="shared" si="6"/>
        <v>1750000</v>
      </c>
      <c r="L106" s="290">
        <v>240000</v>
      </c>
      <c r="M106" s="291">
        <f t="shared" si="7"/>
        <v>1510000</v>
      </c>
      <c r="N106" s="291">
        <v>0</v>
      </c>
      <c r="O106" s="291">
        <v>0</v>
      </c>
      <c r="P106" s="291">
        <f t="shared" si="8"/>
        <v>1510000</v>
      </c>
      <c r="Q106" s="203"/>
    </row>
    <row r="107" spans="1:17" s="193" customFormat="1" ht="20.399999999999999" x14ac:dyDescent="0.3">
      <c r="A107" s="514"/>
      <c r="B107" s="84" t="s">
        <v>333</v>
      </c>
      <c r="C107" s="23" t="s">
        <v>334</v>
      </c>
      <c r="D107" s="75" t="s">
        <v>335</v>
      </c>
      <c r="E107" s="17" t="s">
        <v>336</v>
      </c>
      <c r="F107" s="25" t="s">
        <v>337</v>
      </c>
      <c r="G107" s="481" t="s">
        <v>298</v>
      </c>
      <c r="H107" s="93">
        <v>7500000</v>
      </c>
      <c r="I107" s="93">
        <v>2000000</v>
      </c>
      <c r="J107" s="112">
        <v>19750000</v>
      </c>
      <c r="K107" s="292">
        <f t="shared" ref="K107:K113" si="9">SUM(H107:J107)</f>
        <v>29250000</v>
      </c>
      <c r="L107" s="290">
        <f>1015200+9775100</f>
        <v>10790300</v>
      </c>
      <c r="M107" s="291">
        <f t="shared" si="7"/>
        <v>18459700</v>
      </c>
      <c r="N107" s="291">
        <v>0</v>
      </c>
      <c r="O107" s="291">
        <v>0</v>
      </c>
      <c r="P107" s="291">
        <f t="shared" si="8"/>
        <v>18459700</v>
      </c>
      <c r="Q107" s="203"/>
    </row>
    <row r="108" spans="1:17" s="193" customFormat="1" ht="31.8" thickBot="1" x14ac:dyDescent="0.35">
      <c r="A108" s="514"/>
      <c r="B108" s="84" t="s">
        <v>338</v>
      </c>
      <c r="C108" s="23" t="s">
        <v>339</v>
      </c>
      <c r="D108" s="75" t="s">
        <v>335</v>
      </c>
      <c r="E108" s="17" t="s">
        <v>340</v>
      </c>
      <c r="F108" s="25" t="s">
        <v>337</v>
      </c>
      <c r="G108" s="482"/>
      <c r="H108" s="93">
        <v>0</v>
      </c>
      <c r="I108" s="93">
        <v>1750000</v>
      </c>
      <c r="J108" s="112">
        <v>0</v>
      </c>
      <c r="K108" s="292">
        <f t="shared" si="9"/>
        <v>1750000</v>
      </c>
      <c r="L108" s="290">
        <v>0</v>
      </c>
      <c r="M108" s="291">
        <f t="shared" si="7"/>
        <v>1750000</v>
      </c>
      <c r="N108" s="291">
        <v>0</v>
      </c>
      <c r="O108" s="291">
        <v>0</v>
      </c>
      <c r="P108" s="291">
        <f t="shared" si="8"/>
        <v>1750000</v>
      </c>
      <c r="Q108" s="207"/>
    </row>
    <row r="109" spans="1:17" s="193" customFormat="1" ht="31.8" thickBot="1" x14ac:dyDescent="0.35">
      <c r="A109" s="514"/>
      <c r="B109" s="84" t="s">
        <v>341</v>
      </c>
      <c r="C109" s="119" t="s">
        <v>342</v>
      </c>
      <c r="D109" s="346">
        <v>42644</v>
      </c>
      <c r="E109" s="120" t="s">
        <v>343</v>
      </c>
      <c r="F109" s="21" t="s">
        <v>297</v>
      </c>
      <c r="G109" s="121" t="s">
        <v>305</v>
      </c>
      <c r="H109" s="93">
        <v>212138</v>
      </c>
      <c r="I109" s="93">
        <v>0</v>
      </c>
      <c r="J109" s="112">
        <v>-212138</v>
      </c>
      <c r="K109" s="292">
        <f t="shared" si="9"/>
        <v>0</v>
      </c>
      <c r="L109" s="290">
        <v>0</v>
      </c>
      <c r="M109" s="291">
        <f t="shared" si="7"/>
        <v>0</v>
      </c>
      <c r="N109" s="291">
        <v>0</v>
      </c>
      <c r="O109" s="291">
        <v>0</v>
      </c>
      <c r="P109" s="291">
        <f t="shared" si="8"/>
        <v>0</v>
      </c>
      <c r="Q109" s="203"/>
    </row>
    <row r="110" spans="1:17" s="193" customFormat="1" ht="47.4" thickBot="1" x14ac:dyDescent="0.35">
      <c r="A110" s="514"/>
      <c r="B110" s="84" t="s">
        <v>344</v>
      </c>
      <c r="C110" s="122" t="s">
        <v>345</v>
      </c>
      <c r="D110" s="123">
        <v>42614</v>
      </c>
      <c r="E110" s="124" t="s">
        <v>346</v>
      </c>
      <c r="F110" s="21" t="s">
        <v>297</v>
      </c>
      <c r="G110" s="22" t="s">
        <v>298</v>
      </c>
      <c r="H110" s="93">
        <v>-100</v>
      </c>
      <c r="I110" s="93"/>
      <c r="J110" s="112">
        <v>100</v>
      </c>
      <c r="K110" s="292">
        <f t="shared" si="9"/>
        <v>0</v>
      </c>
      <c r="L110" s="290">
        <v>0</v>
      </c>
      <c r="M110" s="291">
        <f t="shared" si="7"/>
        <v>0</v>
      </c>
      <c r="N110" s="291">
        <v>0</v>
      </c>
      <c r="O110" s="291">
        <v>0</v>
      </c>
      <c r="P110" s="291">
        <f t="shared" si="8"/>
        <v>0</v>
      </c>
      <c r="Q110" s="203"/>
    </row>
    <row r="111" spans="1:17" s="193" customFormat="1" ht="31.2" x14ac:dyDescent="0.3">
      <c r="A111" s="514"/>
      <c r="B111" s="84" t="s">
        <v>347</v>
      </c>
      <c r="C111" s="122" t="s">
        <v>348</v>
      </c>
      <c r="D111" s="125">
        <v>42614</v>
      </c>
      <c r="E111" s="17" t="s">
        <v>349</v>
      </c>
      <c r="F111" s="21" t="s">
        <v>297</v>
      </c>
      <c r="G111" s="22" t="s">
        <v>298</v>
      </c>
      <c r="H111" s="93">
        <v>2492500</v>
      </c>
      <c r="I111" s="93"/>
      <c r="J111" s="112">
        <v>-2492500</v>
      </c>
      <c r="K111" s="292">
        <f t="shared" si="9"/>
        <v>0</v>
      </c>
      <c r="L111" s="290">
        <v>0</v>
      </c>
      <c r="M111" s="291">
        <f t="shared" si="7"/>
        <v>0</v>
      </c>
      <c r="N111" s="291">
        <v>0</v>
      </c>
      <c r="O111" s="291">
        <v>0</v>
      </c>
      <c r="P111" s="291">
        <f t="shared" si="8"/>
        <v>0</v>
      </c>
      <c r="Q111" s="203"/>
    </row>
    <row r="112" spans="1:17" s="193" customFormat="1" ht="31.2" x14ac:dyDescent="0.3">
      <c r="A112" s="514"/>
      <c r="B112" s="84" t="s">
        <v>350</v>
      </c>
      <c r="C112" s="457" t="s">
        <v>351</v>
      </c>
      <c r="D112" s="123">
        <v>42614</v>
      </c>
      <c r="E112" s="126" t="s">
        <v>352</v>
      </c>
      <c r="F112" s="21" t="s">
        <v>297</v>
      </c>
      <c r="G112" s="22" t="s">
        <v>298</v>
      </c>
      <c r="H112" s="93">
        <v>500000</v>
      </c>
      <c r="I112" s="347"/>
      <c r="J112" s="112">
        <v>-500000</v>
      </c>
      <c r="K112" s="292">
        <f t="shared" si="9"/>
        <v>0</v>
      </c>
      <c r="L112" s="290">
        <v>0</v>
      </c>
      <c r="M112" s="291">
        <f t="shared" si="7"/>
        <v>0</v>
      </c>
      <c r="N112" s="291">
        <v>0</v>
      </c>
      <c r="O112" s="291">
        <v>0</v>
      </c>
      <c r="P112" s="291">
        <f t="shared" si="8"/>
        <v>0</v>
      </c>
      <c r="Q112" s="203"/>
    </row>
    <row r="113" spans="1:17" s="193" customFormat="1" ht="46.8" x14ac:dyDescent="0.3">
      <c r="A113" s="514"/>
      <c r="B113" s="84" t="s">
        <v>353</v>
      </c>
      <c r="C113" s="18" t="s">
        <v>354</v>
      </c>
      <c r="D113" s="19">
        <v>42644</v>
      </c>
      <c r="E113" s="20" t="s">
        <v>355</v>
      </c>
      <c r="F113" s="21" t="s">
        <v>313</v>
      </c>
      <c r="G113" s="22" t="s">
        <v>298</v>
      </c>
      <c r="H113" s="93">
        <v>6000000</v>
      </c>
      <c r="I113" s="347"/>
      <c r="J113" s="112">
        <v>0</v>
      </c>
      <c r="K113" s="292">
        <f t="shared" si="9"/>
        <v>6000000</v>
      </c>
      <c r="L113" s="290">
        <v>2135530</v>
      </c>
      <c r="M113" s="291">
        <f t="shared" si="7"/>
        <v>3864470</v>
      </c>
      <c r="N113" s="291">
        <v>0</v>
      </c>
      <c r="O113" s="291">
        <v>0</v>
      </c>
      <c r="P113" s="291">
        <f t="shared" si="8"/>
        <v>3864470</v>
      </c>
      <c r="Q113" s="203"/>
    </row>
    <row r="114" spans="1:17" s="193" customFormat="1" ht="46.8" x14ac:dyDescent="0.3">
      <c r="A114" s="514"/>
      <c r="B114" s="84" t="s">
        <v>356</v>
      </c>
      <c r="C114" s="23" t="s">
        <v>357</v>
      </c>
      <c r="D114" s="24"/>
      <c r="E114" s="17" t="s">
        <v>358</v>
      </c>
      <c r="F114" s="25"/>
      <c r="G114" s="22"/>
      <c r="H114" s="93">
        <f>-16709552</f>
        <v>-16709552</v>
      </c>
      <c r="I114" s="347"/>
      <c r="J114" s="112">
        <v>16709552</v>
      </c>
      <c r="K114" s="292">
        <f>SUM(H114:J114)</f>
        <v>0</v>
      </c>
      <c r="L114" s="290">
        <v>0</v>
      </c>
      <c r="M114" s="291">
        <f>K116-L114</f>
        <v>0</v>
      </c>
      <c r="N114" s="291">
        <v>0</v>
      </c>
      <c r="O114" s="291">
        <v>0</v>
      </c>
      <c r="P114" s="291">
        <f>SUM(N114:O114)</f>
        <v>0</v>
      </c>
      <c r="Q114" s="203"/>
    </row>
    <row r="115" spans="1:17" s="196" customFormat="1" ht="20.399999999999999" x14ac:dyDescent="0.3">
      <c r="A115" s="514"/>
      <c r="B115" s="84" t="s">
        <v>359</v>
      </c>
      <c r="C115" s="23" t="s">
        <v>360</v>
      </c>
      <c r="D115" s="24"/>
      <c r="E115" s="17"/>
      <c r="F115" s="25"/>
      <c r="G115" s="22"/>
      <c r="H115" s="93"/>
      <c r="I115" s="347"/>
      <c r="J115" s="112"/>
      <c r="K115" s="292"/>
      <c r="L115" s="290"/>
      <c r="M115" s="292"/>
      <c r="N115" s="291">
        <v>9000000</v>
      </c>
      <c r="O115" s="291">
        <v>13000000</v>
      </c>
      <c r="P115" s="291">
        <f>SUM(N115:O115)</f>
        <v>22000000</v>
      </c>
      <c r="Q115" s="204"/>
    </row>
    <row r="116" spans="1:17" s="193" customFormat="1" ht="156.6" thickBot="1" x14ac:dyDescent="0.35">
      <c r="A116" s="515"/>
      <c r="B116" s="84" t="s">
        <v>359</v>
      </c>
      <c r="C116" s="127" t="s">
        <v>361</v>
      </c>
      <c r="D116" s="75"/>
      <c r="E116" s="17"/>
      <c r="F116" s="25"/>
      <c r="G116" s="22"/>
      <c r="H116" s="93"/>
      <c r="I116" s="93"/>
      <c r="J116" s="112"/>
      <c r="K116" s="292">
        <v>0</v>
      </c>
      <c r="L116" s="290">
        <v>0</v>
      </c>
      <c r="M116" s="292">
        <v>0</v>
      </c>
      <c r="N116" s="291">
        <v>0</v>
      </c>
      <c r="O116" s="291">
        <v>0</v>
      </c>
      <c r="P116" s="291">
        <f t="shared" si="8"/>
        <v>0</v>
      </c>
      <c r="Q116" s="207"/>
    </row>
    <row r="117" spans="1:17" s="193" customFormat="1" ht="46.8" x14ac:dyDescent="0.3">
      <c r="A117" s="513" t="s">
        <v>362</v>
      </c>
      <c r="B117" s="84" t="s">
        <v>363</v>
      </c>
      <c r="C117" s="90" t="s">
        <v>364</v>
      </c>
      <c r="D117" s="97">
        <v>42552</v>
      </c>
      <c r="E117" s="128" t="s">
        <v>365</v>
      </c>
      <c r="F117" s="129" t="s">
        <v>366</v>
      </c>
      <c r="G117" s="516" t="s">
        <v>367</v>
      </c>
      <c r="H117" s="93">
        <v>7231582</v>
      </c>
      <c r="I117" s="93"/>
      <c r="J117" s="112">
        <v>0</v>
      </c>
      <c r="K117" s="292">
        <f t="shared" ref="K117:K122" si="10">SUM(H117:J117)</f>
        <v>7231582</v>
      </c>
      <c r="L117" s="290">
        <v>0</v>
      </c>
      <c r="M117" s="291">
        <f t="shared" si="7"/>
        <v>7231582</v>
      </c>
      <c r="N117" s="291">
        <v>-1000000</v>
      </c>
      <c r="O117" s="291">
        <v>0</v>
      </c>
      <c r="P117" s="291">
        <f t="shared" si="8"/>
        <v>6231582</v>
      </c>
      <c r="Q117" s="203"/>
    </row>
    <row r="118" spans="1:17" s="193" customFormat="1" ht="47.4" thickBot="1" x14ac:dyDescent="0.35">
      <c r="A118" s="514"/>
      <c r="B118" s="84" t="s">
        <v>368</v>
      </c>
      <c r="C118" s="130" t="s">
        <v>369</v>
      </c>
      <c r="D118" s="24">
        <v>42675</v>
      </c>
      <c r="E118" s="131" t="s">
        <v>370</v>
      </c>
      <c r="F118" s="132" t="s">
        <v>366</v>
      </c>
      <c r="G118" s="517"/>
      <c r="H118" s="93">
        <v>34000000</v>
      </c>
      <c r="I118" s="93"/>
      <c r="J118" s="112">
        <f>13438800+2000000</f>
        <v>15438800</v>
      </c>
      <c r="K118" s="292">
        <f t="shared" si="10"/>
        <v>49438800</v>
      </c>
      <c r="L118" s="290">
        <v>0</v>
      </c>
      <c r="M118" s="291">
        <f t="shared" si="7"/>
        <v>49438800</v>
      </c>
      <c r="N118" s="291">
        <v>0</v>
      </c>
      <c r="O118" s="291">
        <v>0</v>
      </c>
      <c r="P118" s="291">
        <f t="shared" si="8"/>
        <v>49438800</v>
      </c>
      <c r="Q118" s="203"/>
    </row>
    <row r="119" spans="1:17" s="196" customFormat="1" ht="31.2" x14ac:dyDescent="0.3">
      <c r="A119" s="514"/>
      <c r="B119" s="84" t="s">
        <v>371</v>
      </c>
      <c r="C119" s="133" t="s">
        <v>372</v>
      </c>
      <c r="D119" s="24">
        <v>42675</v>
      </c>
      <c r="E119" s="128" t="s">
        <v>373</v>
      </c>
      <c r="F119" s="129" t="s">
        <v>374</v>
      </c>
      <c r="G119" s="518" t="s">
        <v>367</v>
      </c>
      <c r="H119" s="93">
        <v>3000000</v>
      </c>
      <c r="I119" s="93"/>
      <c r="J119" s="112">
        <v>0</v>
      </c>
      <c r="K119" s="292">
        <f t="shared" si="10"/>
        <v>3000000</v>
      </c>
      <c r="L119" s="290">
        <v>0</v>
      </c>
      <c r="M119" s="291">
        <f t="shared" si="7"/>
        <v>3000000</v>
      </c>
      <c r="N119" s="291">
        <v>1357000</v>
      </c>
      <c r="O119" s="291">
        <v>0</v>
      </c>
      <c r="P119" s="291">
        <f t="shared" si="8"/>
        <v>4357000</v>
      </c>
      <c r="Q119" s="204"/>
    </row>
    <row r="120" spans="1:17" s="193" customFormat="1" ht="46.8" x14ac:dyDescent="0.3">
      <c r="A120" s="514"/>
      <c r="B120" s="84" t="s">
        <v>375</v>
      </c>
      <c r="C120" s="23" t="s">
        <v>376</v>
      </c>
      <c r="D120" s="24">
        <v>42675</v>
      </c>
      <c r="E120" s="83" t="s">
        <v>377</v>
      </c>
      <c r="F120" s="84" t="s">
        <v>374</v>
      </c>
      <c r="G120" s="519"/>
      <c r="H120" s="93">
        <v>17000000</v>
      </c>
      <c r="I120" s="93"/>
      <c r="J120" s="112">
        <v>0</v>
      </c>
      <c r="K120" s="292">
        <f t="shared" si="10"/>
        <v>17000000</v>
      </c>
      <c r="L120" s="290">
        <v>3398300</v>
      </c>
      <c r="M120" s="291">
        <f t="shared" si="7"/>
        <v>13601700</v>
      </c>
      <c r="N120" s="291">
        <v>0</v>
      </c>
      <c r="O120" s="291">
        <v>0</v>
      </c>
      <c r="P120" s="291">
        <f t="shared" si="8"/>
        <v>13601700</v>
      </c>
      <c r="Q120" s="203"/>
    </row>
    <row r="121" spans="1:17" s="193" customFormat="1" ht="63" thickBot="1" x14ac:dyDescent="0.35">
      <c r="A121" s="514"/>
      <c r="B121" s="84" t="s">
        <v>378</v>
      </c>
      <c r="C121" s="85" t="s">
        <v>379</v>
      </c>
      <c r="D121" s="24">
        <v>42644</v>
      </c>
      <c r="E121" s="86" t="s">
        <v>380</v>
      </c>
      <c r="F121" s="87" t="s">
        <v>374</v>
      </c>
      <c r="G121" s="517"/>
      <c r="H121" s="93">
        <v>3000000</v>
      </c>
      <c r="I121" s="93"/>
      <c r="J121" s="112">
        <v>3000000</v>
      </c>
      <c r="K121" s="292">
        <f t="shared" si="10"/>
        <v>6000000</v>
      </c>
      <c r="L121" s="290">
        <v>0</v>
      </c>
      <c r="M121" s="291">
        <f t="shared" si="7"/>
        <v>6000000</v>
      </c>
      <c r="N121" s="291">
        <v>0</v>
      </c>
      <c r="O121" s="291">
        <v>0</v>
      </c>
      <c r="P121" s="291">
        <f t="shared" si="8"/>
        <v>6000000</v>
      </c>
      <c r="Q121" s="203"/>
    </row>
    <row r="122" spans="1:17" s="193" customFormat="1" ht="48" thickTop="1" thickBot="1" x14ac:dyDescent="0.35">
      <c r="A122" s="514"/>
      <c r="B122" s="84" t="s">
        <v>381</v>
      </c>
      <c r="C122" s="134" t="s">
        <v>382</v>
      </c>
      <c r="D122" s="135">
        <v>42675</v>
      </c>
      <c r="E122" s="136" t="s">
        <v>383</v>
      </c>
      <c r="F122" s="87" t="s">
        <v>374</v>
      </c>
      <c r="G122" s="137"/>
      <c r="H122" s="93">
        <v>0</v>
      </c>
      <c r="I122" s="93">
        <v>3000000</v>
      </c>
      <c r="J122" s="112">
        <v>0</v>
      </c>
      <c r="K122" s="292">
        <f t="shared" si="10"/>
        <v>3000000</v>
      </c>
      <c r="L122" s="290">
        <v>0</v>
      </c>
      <c r="M122" s="291">
        <f t="shared" si="7"/>
        <v>3000000</v>
      </c>
      <c r="N122" s="291">
        <v>0</v>
      </c>
      <c r="O122" s="291">
        <v>0</v>
      </c>
      <c r="P122" s="291">
        <f t="shared" si="8"/>
        <v>3000000</v>
      </c>
      <c r="Q122" s="207"/>
    </row>
    <row r="123" spans="1:17" s="193" customFormat="1" ht="79.2" thickTop="1" thickBot="1" x14ac:dyDescent="0.35">
      <c r="A123" s="514"/>
      <c r="B123" s="84" t="s">
        <v>384</v>
      </c>
      <c r="C123" s="90" t="s">
        <v>385</v>
      </c>
      <c r="D123" s="138"/>
      <c r="E123" s="139" t="s">
        <v>358</v>
      </c>
      <c r="F123" s="140"/>
      <c r="G123" s="137"/>
      <c r="H123" s="141">
        <v>0</v>
      </c>
      <c r="I123" s="110">
        <v>1000000</v>
      </c>
      <c r="J123" s="142">
        <v>0</v>
      </c>
      <c r="K123" s="292">
        <v>0</v>
      </c>
      <c r="L123" s="290">
        <v>0</v>
      </c>
      <c r="M123" s="291">
        <f t="shared" si="7"/>
        <v>0</v>
      </c>
      <c r="N123" s="291">
        <v>0</v>
      </c>
      <c r="O123" s="291">
        <v>0</v>
      </c>
      <c r="P123" s="291">
        <f t="shared" si="8"/>
        <v>0</v>
      </c>
      <c r="Q123" s="207"/>
    </row>
    <row r="124" spans="1:17" s="193" customFormat="1" ht="63" thickBot="1" x14ac:dyDescent="0.35">
      <c r="A124" s="514"/>
      <c r="B124" s="84" t="s">
        <v>386</v>
      </c>
      <c r="C124" s="18" t="s">
        <v>387</v>
      </c>
      <c r="D124" s="75"/>
      <c r="E124" s="17" t="s">
        <v>358</v>
      </c>
      <c r="F124" s="25"/>
      <c r="G124" s="143"/>
      <c r="H124" s="93">
        <v>0</v>
      </c>
      <c r="I124" s="93">
        <v>3000000</v>
      </c>
      <c r="J124" s="93">
        <v>-3000000</v>
      </c>
      <c r="K124" s="292">
        <f>SUM(H124:J124)</f>
        <v>0</v>
      </c>
      <c r="L124" s="290">
        <v>0</v>
      </c>
      <c r="M124" s="291">
        <f t="shared" si="7"/>
        <v>0</v>
      </c>
      <c r="N124" s="291">
        <f>SUM(H124:K124)</f>
        <v>0</v>
      </c>
      <c r="O124" s="291">
        <v>0</v>
      </c>
      <c r="P124" s="291">
        <f t="shared" si="8"/>
        <v>0</v>
      </c>
      <c r="Q124" s="207"/>
    </row>
    <row r="125" spans="1:17" s="196" customFormat="1" ht="62.4" x14ac:dyDescent="0.3">
      <c r="A125" s="514"/>
      <c r="B125" s="92" t="s">
        <v>386</v>
      </c>
      <c r="C125" s="144" t="s">
        <v>388</v>
      </c>
      <c r="D125" s="145"/>
      <c r="E125" s="78"/>
      <c r="F125" s="72"/>
      <c r="G125" s="143"/>
      <c r="H125" s="93"/>
      <c r="I125" s="93"/>
      <c r="J125" s="93"/>
      <c r="K125" s="363">
        <v>0</v>
      </c>
      <c r="L125" s="290">
        <v>0</v>
      </c>
      <c r="M125" s="291">
        <f t="shared" si="7"/>
        <v>0</v>
      </c>
      <c r="N125" s="291">
        <v>0</v>
      </c>
      <c r="O125" s="291">
        <v>20000000</v>
      </c>
      <c r="P125" s="291">
        <f t="shared" si="8"/>
        <v>20000000</v>
      </c>
      <c r="Q125" s="208"/>
    </row>
    <row r="126" spans="1:17" s="196" customFormat="1" ht="121.8" x14ac:dyDescent="0.3">
      <c r="A126" s="88" t="s">
        <v>389</v>
      </c>
      <c r="B126" s="25" t="s">
        <v>390</v>
      </c>
      <c r="C126" s="89" t="s">
        <v>391</v>
      </c>
      <c r="D126" s="75"/>
      <c r="E126" s="17"/>
      <c r="F126" s="25"/>
      <c r="G126" s="25"/>
      <c r="H126" s="93"/>
      <c r="I126" s="93"/>
      <c r="J126" s="93"/>
      <c r="K126" s="363">
        <v>0</v>
      </c>
      <c r="L126" s="290">
        <v>0</v>
      </c>
      <c r="M126" s="291">
        <f t="shared" si="7"/>
        <v>0</v>
      </c>
      <c r="N126" s="291">
        <v>0</v>
      </c>
      <c r="O126" s="291">
        <v>10000000</v>
      </c>
      <c r="P126" s="291">
        <f t="shared" si="8"/>
        <v>10000000</v>
      </c>
      <c r="Q126" s="208"/>
    </row>
    <row r="127" spans="1:17" s="193" customFormat="1" ht="31.2" x14ac:dyDescent="0.3">
      <c r="A127" s="521" t="s">
        <v>392</v>
      </c>
      <c r="B127" s="95" t="s">
        <v>393</v>
      </c>
      <c r="C127" s="102" t="s">
        <v>394</v>
      </c>
      <c r="D127" s="146" t="s">
        <v>395</v>
      </c>
      <c r="E127" s="28" t="s">
        <v>396</v>
      </c>
      <c r="F127" s="95" t="s">
        <v>397</v>
      </c>
      <c r="G127" s="108" t="s">
        <v>398</v>
      </c>
      <c r="H127" s="93">
        <v>98560750</v>
      </c>
      <c r="I127" s="93"/>
      <c r="J127" s="112">
        <v>0</v>
      </c>
      <c r="K127" s="292">
        <f t="shared" ref="K127:K141" si="11">SUM(H127:J127)</f>
        <v>98560750</v>
      </c>
      <c r="L127" s="290">
        <v>0</v>
      </c>
      <c r="M127" s="291">
        <f t="shared" si="7"/>
        <v>98560750</v>
      </c>
      <c r="N127" s="291">
        <v>0</v>
      </c>
      <c r="O127" s="291">
        <v>0</v>
      </c>
      <c r="P127" s="291">
        <f t="shared" si="8"/>
        <v>98560750</v>
      </c>
      <c r="Q127" s="207"/>
    </row>
    <row r="128" spans="1:17" s="193" customFormat="1" ht="31.8" thickBot="1" x14ac:dyDescent="0.35">
      <c r="A128" s="522"/>
      <c r="B128" s="25" t="s">
        <v>399</v>
      </c>
      <c r="C128" s="18" t="s">
        <v>400</v>
      </c>
      <c r="D128" s="24">
        <v>42644</v>
      </c>
      <c r="E128" s="17" t="s">
        <v>401</v>
      </c>
      <c r="F128" s="25" t="s">
        <v>402</v>
      </c>
      <c r="G128" s="22" t="s">
        <v>403</v>
      </c>
      <c r="H128" s="93">
        <v>5000000</v>
      </c>
      <c r="I128" s="93"/>
      <c r="J128" s="112">
        <f>-3000000</f>
        <v>-3000000</v>
      </c>
      <c r="K128" s="292">
        <f t="shared" si="11"/>
        <v>2000000</v>
      </c>
      <c r="L128" s="290">
        <v>855000</v>
      </c>
      <c r="M128" s="291">
        <f t="shared" si="7"/>
        <v>1145000</v>
      </c>
      <c r="N128" s="291">
        <v>0</v>
      </c>
      <c r="O128" s="291">
        <v>0</v>
      </c>
      <c r="P128" s="291">
        <f t="shared" si="8"/>
        <v>1145000</v>
      </c>
      <c r="Q128" s="203"/>
    </row>
    <row r="129" spans="1:17" s="196" customFormat="1" ht="46.8" x14ac:dyDescent="0.3">
      <c r="A129" s="513" t="s">
        <v>404</v>
      </c>
      <c r="B129" s="84" t="s">
        <v>405</v>
      </c>
      <c r="C129" s="133" t="s">
        <v>406</v>
      </c>
      <c r="D129" s="27">
        <v>42644</v>
      </c>
      <c r="E129" s="128" t="s">
        <v>407</v>
      </c>
      <c r="F129" s="129" t="s">
        <v>408</v>
      </c>
      <c r="G129" s="147" t="s">
        <v>409</v>
      </c>
      <c r="H129" s="93">
        <v>6000000</v>
      </c>
      <c r="I129" s="110"/>
      <c r="J129" s="93">
        <v>0</v>
      </c>
      <c r="K129" s="292">
        <f t="shared" si="11"/>
        <v>6000000</v>
      </c>
      <c r="L129" s="290">
        <v>3420000</v>
      </c>
      <c r="M129" s="291">
        <f t="shared" si="7"/>
        <v>2580000</v>
      </c>
      <c r="N129" s="291">
        <v>0</v>
      </c>
      <c r="O129" s="291">
        <v>2400000</v>
      </c>
      <c r="P129" s="291">
        <f t="shared" si="8"/>
        <v>4980000</v>
      </c>
      <c r="Q129" s="204"/>
    </row>
    <row r="130" spans="1:17" s="196" customFormat="1" ht="31.2" x14ac:dyDescent="0.3">
      <c r="A130" s="514"/>
      <c r="B130" s="84" t="s">
        <v>410</v>
      </c>
      <c r="C130" s="23" t="s">
        <v>411</v>
      </c>
      <c r="D130" s="24">
        <v>42461</v>
      </c>
      <c r="E130" s="91" t="s">
        <v>412</v>
      </c>
      <c r="F130" s="84" t="s">
        <v>413</v>
      </c>
      <c r="G130" s="516" t="s">
        <v>409</v>
      </c>
      <c r="H130" s="93">
        <v>5445000</v>
      </c>
      <c r="I130" s="110"/>
      <c r="J130" s="93">
        <v>0</v>
      </c>
      <c r="K130" s="292">
        <f t="shared" si="11"/>
        <v>5445000</v>
      </c>
      <c r="L130" s="290">
        <v>3040000</v>
      </c>
      <c r="M130" s="291">
        <f t="shared" si="7"/>
        <v>2405000</v>
      </c>
      <c r="N130" s="291">
        <v>0</v>
      </c>
      <c r="O130" s="291">
        <v>2500000</v>
      </c>
      <c r="P130" s="291">
        <f t="shared" si="8"/>
        <v>4905000</v>
      </c>
      <c r="Q130" s="204"/>
    </row>
    <row r="131" spans="1:17" s="193" customFormat="1" ht="31.2" x14ac:dyDescent="0.3">
      <c r="A131" s="514"/>
      <c r="B131" s="84" t="s">
        <v>414</v>
      </c>
      <c r="C131" s="23" t="s">
        <v>415</v>
      </c>
      <c r="D131" s="24">
        <v>42644</v>
      </c>
      <c r="E131" s="91" t="s">
        <v>416</v>
      </c>
      <c r="F131" s="84" t="s">
        <v>366</v>
      </c>
      <c r="G131" s="519"/>
      <c r="H131" s="93">
        <v>7000000</v>
      </c>
      <c r="I131" s="110"/>
      <c r="J131" s="93">
        <v>0</v>
      </c>
      <c r="K131" s="292">
        <f t="shared" si="11"/>
        <v>7000000</v>
      </c>
      <c r="L131" s="290">
        <v>0</v>
      </c>
      <c r="M131" s="291">
        <f t="shared" si="7"/>
        <v>7000000</v>
      </c>
      <c r="N131" s="291">
        <v>0</v>
      </c>
      <c r="O131" s="291">
        <v>0</v>
      </c>
      <c r="P131" s="291">
        <f t="shared" si="8"/>
        <v>7000000</v>
      </c>
      <c r="Q131" s="203"/>
    </row>
    <row r="132" spans="1:17" s="193" customFormat="1" ht="31.2" x14ac:dyDescent="0.3">
      <c r="A132" s="514"/>
      <c r="B132" s="84" t="s">
        <v>417</v>
      </c>
      <c r="C132" s="23" t="s">
        <v>418</v>
      </c>
      <c r="D132" s="24">
        <v>42644</v>
      </c>
      <c r="E132" s="91" t="s">
        <v>419</v>
      </c>
      <c r="F132" s="84" t="s">
        <v>366</v>
      </c>
      <c r="G132" s="523"/>
      <c r="H132" s="93">
        <v>20000000</v>
      </c>
      <c r="I132" s="110"/>
      <c r="J132" s="93">
        <v>0</v>
      </c>
      <c r="K132" s="292">
        <f t="shared" si="11"/>
        <v>20000000</v>
      </c>
      <c r="L132" s="290">
        <v>2644176</v>
      </c>
      <c r="M132" s="291">
        <f t="shared" si="7"/>
        <v>17355824</v>
      </c>
      <c r="N132" s="291">
        <v>0</v>
      </c>
      <c r="O132" s="291">
        <v>0</v>
      </c>
      <c r="P132" s="291">
        <f t="shared" si="8"/>
        <v>17355824</v>
      </c>
      <c r="Q132" s="203"/>
    </row>
    <row r="133" spans="1:17" s="193" customFormat="1" ht="46.8" x14ac:dyDescent="0.3">
      <c r="A133" s="514"/>
      <c r="B133" s="84" t="s">
        <v>420</v>
      </c>
      <c r="C133" s="90" t="s">
        <v>421</v>
      </c>
      <c r="D133" s="24">
        <v>42644</v>
      </c>
      <c r="E133" s="91" t="s">
        <v>422</v>
      </c>
      <c r="F133" s="84" t="s">
        <v>366</v>
      </c>
      <c r="G133" s="148" t="s">
        <v>409</v>
      </c>
      <c r="H133" s="93">
        <v>12000000</v>
      </c>
      <c r="I133" s="110"/>
      <c r="J133" s="93">
        <v>0</v>
      </c>
      <c r="K133" s="292">
        <f t="shared" si="11"/>
        <v>12000000</v>
      </c>
      <c r="L133" s="290">
        <v>12000000</v>
      </c>
      <c r="M133" s="291">
        <f t="shared" si="7"/>
        <v>0</v>
      </c>
      <c r="N133" s="291">
        <v>0</v>
      </c>
      <c r="O133" s="291">
        <v>0</v>
      </c>
      <c r="P133" s="291">
        <f t="shared" si="8"/>
        <v>0</v>
      </c>
      <c r="Q133" s="203"/>
    </row>
    <row r="134" spans="1:17" s="193" customFormat="1" ht="31.2" x14ac:dyDescent="0.3">
      <c r="A134" s="514"/>
      <c r="B134" s="84" t="s">
        <v>423</v>
      </c>
      <c r="C134" s="18" t="s">
        <v>424</v>
      </c>
      <c r="D134" s="74">
        <v>42675</v>
      </c>
      <c r="E134" s="83" t="s">
        <v>425</v>
      </c>
      <c r="F134" s="92" t="s">
        <v>426</v>
      </c>
      <c r="G134" s="25" t="s">
        <v>427</v>
      </c>
      <c r="H134" s="93">
        <v>10123470</v>
      </c>
      <c r="I134" s="149"/>
      <c r="J134" s="93">
        <v>0</v>
      </c>
      <c r="K134" s="292">
        <f t="shared" si="11"/>
        <v>10123470</v>
      </c>
      <c r="L134" s="290">
        <v>10123470</v>
      </c>
      <c r="M134" s="291">
        <f t="shared" si="7"/>
        <v>0</v>
      </c>
      <c r="N134" s="291">
        <v>0</v>
      </c>
      <c r="O134" s="291">
        <v>0</v>
      </c>
      <c r="P134" s="291">
        <f t="shared" si="8"/>
        <v>0</v>
      </c>
      <c r="Q134" s="203"/>
    </row>
    <row r="135" spans="1:17" s="193" customFormat="1" ht="46.8" x14ac:dyDescent="0.3">
      <c r="A135" s="514"/>
      <c r="B135" s="84" t="s">
        <v>428</v>
      </c>
      <c r="C135" s="150" t="s">
        <v>429</v>
      </c>
      <c r="D135" s="74">
        <v>42705</v>
      </c>
      <c r="E135" s="17" t="s">
        <v>430</v>
      </c>
      <c r="F135" s="92" t="s">
        <v>426</v>
      </c>
      <c r="G135" s="25" t="s">
        <v>298</v>
      </c>
      <c r="H135" s="93">
        <v>12000000</v>
      </c>
      <c r="I135" s="93">
        <v>12000000</v>
      </c>
      <c r="J135" s="112">
        <f>-10317030+5040000</f>
        <v>-5277030</v>
      </c>
      <c r="K135" s="292">
        <f t="shared" si="11"/>
        <v>18722970</v>
      </c>
      <c r="L135" s="290">
        <v>1485140</v>
      </c>
      <c r="M135" s="291">
        <f t="shared" si="7"/>
        <v>17237830</v>
      </c>
      <c r="N135" s="291">
        <v>0</v>
      </c>
      <c r="O135" s="291">
        <v>0</v>
      </c>
      <c r="P135" s="291">
        <f t="shared" si="8"/>
        <v>17237830</v>
      </c>
      <c r="Q135" s="203"/>
    </row>
    <row r="136" spans="1:17" s="206" customFormat="1" ht="46.8" x14ac:dyDescent="0.3">
      <c r="A136" s="514"/>
      <c r="B136" s="84" t="s">
        <v>431</v>
      </c>
      <c r="C136" s="150" t="s">
        <v>432</v>
      </c>
      <c r="D136" s="74">
        <v>42675</v>
      </c>
      <c r="E136" s="17" t="s">
        <v>433</v>
      </c>
      <c r="F136" s="92" t="s">
        <v>426</v>
      </c>
      <c r="G136" s="25" t="s">
        <v>298</v>
      </c>
      <c r="H136" s="93">
        <v>0</v>
      </c>
      <c r="I136" s="93"/>
      <c r="J136" s="112">
        <v>2000000</v>
      </c>
      <c r="K136" s="292">
        <f t="shared" si="11"/>
        <v>2000000</v>
      </c>
      <c r="L136" s="290">
        <v>90000</v>
      </c>
      <c r="M136" s="291">
        <f t="shared" si="7"/>
        <v>1910000</v>
      </c>
      <c r="N136" s="291">
        <f>-(710000+1200000)</f>
        <v>-1910000</v>
      </c>
      <c r="O136" s="291">
        <v>0</v>
      </c>
      <c r="P136" s="291">
        <f t="shared" si="8"/>
        <v>0</v>
      </c>
      <c r="Q136" s="205"/>
    </row>
    <row r="137" spans="1:17" s="193" customFormat="1" ht="47.4" thickBot="1" x14ac:dyDescent="0.35">
      <c r="A137" s="514"/>
      <c r="B137" s="84" t="s">
        <v>434</v>
      </c>
      <c r="C137" s="150" t="s">
        <v>435</v>
      </c>
      <c r="D137" s="74">
        <v>42675</v>
      </c>
      <c r="E137" s="17" t="s">
        <v>436</v>
      </c>
      <c r="F137" s="92" t="s">
        <v>437</v>
      </c>
      <c r="G137" s="151" t="s">
        <v>427</v>
      </c>
      <c r="H137" s="93">
        <v>0</v>
      </c>
      <c r="I137" s="110">
        <v>0</v>
      </c>
      <c r="J137" s="112">
        <v>5000000</v>
      </c>
      <c r="K137" s="292">
        <f t="shared" si="11"/>
        <v>5000000</v>
      </c>
      <c r="L137" s="290">
        <v>0</v>
      </c>
      <c r="M137" s="291">
        <f t="shared" si="7"/>
        <v>5000000</v>
      </c>
      <c r="N137" s="291">
        <v>0</v>
      </c>
      <c r="O137" s="291">
        <v>0</v>
      </c>
      <c r="P137" s="291">
        <f t="shared" si="8"/>
        <v>5000000</v>
      </c>
      <c r="Q137" s="203"/>
    </row>
    <row r="138" spans="1:17" s="196" customFormat="1" ht="63" thickBot="1" x14ac:dyDescent="0.35">
      <c r="A138" s="514"/>
      <c r="B138" s="84" t="s">
        <v>438</v>
      </c>
      <c r="C138" s="18" t="s">
        <v>439</v>
      </c>
      <c r="D138" s="74">
        <v>42675</v>
      </c>
      <c r="E138" s="17" t="s">
        <v>430</v>
      </c>
      <c r="F138" s="92" t="s">
        <v>426</v>
      </c>
      <c r="G138" s="152" t="s">
        <v>298</v>
      </c>
      <c r="H138" s="93">
        <v>17604800</v>
      </c>
      <c r="I138" s="93">
        <v>24750000</v>
      </c>
      <c r="J138" s="112">
        <v>-26354800</v>
      </c>
      <c r="K138" s="292">
        <f t="shared" si="11"/>
        <v>16000000</v>
      </c>
      <c r="L138" s="290">
        <f>14340900+826730</f>
        <v>15167630</v>
      </c>
      <c r="M138" s="291">
        <f t="shared" si="7"/>
        <v>832370</v>
      </c>
      <c r="N138" s="291">
        <v>0</v>
      </c>
      <c r="O138" s="291">
        <v>16000000</v>
      </c>
      <c r="P138" s="291">
        <f t="shared" si="8"/>
        <v>16832370</v>
      </c>
      <c r="Q138" s="204"/>
    </row>
    <row r="139" spans="1:17" s="196" customFormat="1" ht="31.8" thickBot="1" x14ac:dyDescent="0.35">
      <c r="A139" s="514"/>
      <c r="B139" s="84" t="s">
        <v>440</v>
      </c>
      <c r="C139" s="18" t="s">
        <v>441</v>
      </c>
      <c r="D139" s="74">
        <v>42705</v>
      </c>
      <c r="E139" s="17" t="s">
        <v>430</v>
      </c>
      <c r="F139" s="92" t="s">
        <v>426</v>
      </c>
      <c r="G139" s="152" t="s">
        <v>298</v>
      </c>
      <c r="H139" s="93">
        <v>9000000</v>
      </c>
      <c r="I139" s="93">
        <v>16500000</v>
      </c>
      <c r="J139" s="112">
        <v>-10000000</v>
      </c>
      <c r="K139" s="292">
        <f t="shared" si="11"/>
        <v>15500000</v>
      </c>
      <c r="L139" s="290">
        <v>855200</v>
      </c>
      <c r="M139" s="291">
        <f t="shared" si="7"/>
        <v>14644800</v>
      </c>
      <c r="N139" s="291">
        <f>-18000000+13198800</f>
        <v>-4801200</v>
      </c>
      <c r="O139" s="291"/>
      <c r="P139" s="291">
        <f t="shared" si="8"/>
        <v>9843600</v>
      </c>
      <c r="Q139" s="204"/>
    </row>
    <row r="140" spans="1:17" s="193" customFormat="1" ht="31.8" thickBot="1" x14ac:dyDescent="0.35">
      <c r="A140" s="514"/>
      <c r="B140" s="84" t="s">
        <v>442</v>
      </c>
      <c r="C140" s="18" t="s">
        <v>443</v>
      </c>
      <c r="D140" s="74">
        <v>42705</v>
      </c>
      <c r="E140" s="17" t="s">
        <v>430</v>
      </c>
      <c r="F140" s="92" t="s">
        <v>426</v>
      </c>
      <c r="G140" s="152" t="s">
        <v>298</v>
      </c>
      <c r="H140" s="93">
        <v>0</v>
      </c>
      <c r="I140" s="93">
        <v>2000000</v>
      </c>
      <c r="J140" s="112">
        <v>0</v>
      </c>
      <c r="K140" s="292">
        <f t="shared" si="11"/>
        <v>2000000</v>
      </c>
      <c r="L140" s="290">
        <v>0</v>
      </c>
      <c r="M140" s="291">
        <f t="shared" si="7"/>
        <v>2000000</v>
      </c>
      <c r="N140" s="291">
        <v>0</v>
      </c>
      <c r="O140" s="291">
        <v>15000000</v>
      </c>
      <c r="P140" s="291">
        <f t="shared" si="8"/>
        <v>17000000</v>
      </c>
      <c r="Q140" s="207"/>
    </row>
    <row r="141" spans="1:17" s="193" customFormat="1" ht="46.8" x14ac:dyDescent="0.3">
      <c r="A141" s="514"/>
      <c r="B141" s="84" t="s">
        <v>444</v>
      </c>
      <c r="C141" s="153" t="s">
        <v>445</v>
      </c>
      <c r="D141" s="74">
        <v>42705</v>
      </c>
      <c r="E141" s="78" t="s">
        <v>430</v>
      </c>
      <c r="F141" s="92" t="s">
        <v>426</v>
      </c>
      <c r="G141" s="147" t="s">
        <v>427</v>
      </c>
      <c r="H141" s="141">
        <v>0</v>
      </c>
      <c r="I141" s="93">
        <v>5000000</v>
      </c>
      <c r="J141" s="93">
        <v>0</v>
      </c>
      <c r="K141" s="292">
        <f t="shared" si="11"/>
        <v>5000000</v>
      </c>
      <c r="L141" s="290">
        <v>0</v>
      </c>
      <c r="M141" s="291">
        <f t="shared" si="7"/>
        <v>5000000</v>
      </c>
      <c r="N141" s="291">
        <v>0</v>
      </c>
      <c r="O141" s="291">
        <v>0</v>
      </c>
      <c r="P141" s="291">
        <f t="shared" si="8"/>
        <v>5000000</v>
      </c>
      <c r="Q141" s="207"/>
    </row>
    <row r="142" spans="1:17" s="193" customFormat="1" ht="31.2" x14ac:dyDescent="0.3">
      <c r="A142" s="514"/>
      <c r="B142" s="84" t="s">
        <v>446</v>
      </c>
      <c r="C142" s="18" t="s">
        <v>447</v>
      </c>
      <c r="D142" s="24"/>
      <c r="E142" s="17" t="s">
        <v>448</v>
      </c>
      <c r="F142" s="92" t="s">
        <v>426</v>
      </c>
      <c r="G142" s="25" t="s">
        <v>358</v>
      </c>
      <c r="H142" s="93">
        <v>8000000</v>
      </c>
      <c r="I142" s="93"/>
      <c r="J142" s="93">
        <f>1841200-18040000-6000000</f>
        <v>-22198800</v>
      </c>
      <c r="K142" s="307">
        <v>0</v>
      </c>
      <c r="L142" s="290">
        <v>0</v>
      </c>
      <c r="M142" s="291">
        <f t="shared" si="7"/>
        <v>0</v>
      </c>
      <c r="N142" s="291">
        <v>0</v>
      </c>
      <c r="O142" s="291">
        <v>0</v>
      </c>
      <c r="P142" s="291">
        <f t="shared" si="8"/>
        <v>0</v>
      </c>
      <c r="Q142" s="203"/>
    </row>
    <row r="143" spans="1:17" s="196" customFormat="1" ht="62.4" x14ac:dyDescent="0.3">
      <c r="A143" s="514"/>
      <c r="B143" s="84" t="s">
        <v>449</v>
      </c>
      <c r="C143" s="23" t="s">
        <v>450</v>
      </c>
      <c r="D143" s="24"/>
      <c r="E143" s="78" t="s">
        <v>451</v>
      </c>
      <c r="F143" s="72" t="s">
        <v>426</v>
      </c>
      <c r="G143" s="25" t="s">
        <v>358</v>
      </c>
      <c r="H143" s="93">
        <v>13198800</v>
      </c>
      <c r="I143" s="93">
        <v>0</v>
      </c>
      <c r="J143" s="93">
        <v>0</v>
      </c>
      <c r="K143" s="292">
        <f>SUM(H143:J143)</f>
        <v>13198800</v>
      </c>
      <c r="L143" s="290">
        <v>0</v>
      </c>
      <c r="M143" s="291">
        <f t="shared" si="7"/>
        <v>13198800</v>
      </c>
      <c r="N143" s="291">
        <v>-13198800</v>
      </c>
      <c r="O143" s="291">
        <v>0</v>
      </c>
      <c r="P143" s="291">
        <f t="shared" si="8"/>
        <v>0</v>
      </c>
      <c r="Q143" s="204"/>
    </row>
    <row r="144" spans="1:17" s="206" customFormat="1" ht="46.8" x14ac:dyDescent="0.3">
      <c r="A144" s="514"/>
      <c r="B144" s="84" t="s">
        <v>452</v>
      </c>
      <c r="C144" s="154" t="s">
        <v>453</v>
      </c>
      <c r="D144" s="155"/>
      <c r="E144" s="78"/>
      <c r="F144" s="72"/>
      <c r="G144" s="84"/>
      <c r="H144" s="93"/>
      <c r="I144" s="156"/>
      <c r="J144" s="112"/>
      <c r="K144" s="292">
        <v>0</v>
      </c>
      <c r="L144" s="290">
        <v>0</v>
      </c>
      <c r="M144" s="291">
        <v>0</v>
      </c>
      <c r="N144" s="291">
        <v>0</v>
      </c>
      <c r="O144" s="291">
        <v>3100000</v>
      </c>
      <c r="P144" s="291" t="s">
        <v>454</v>
      </c>
      <c r="Q144" s="205"/>
    </row>
    <row r="145" spans="1:17" s="206" customFormat="1" ht="20.399999999999999" x14ac:dyDescent="0.3">
      <c r="A145" s="514"/>
      <c r="B145" s="84" t="s">
        <v>455</v>
      </c>
      <c r="C145" s="23" t="s">
        <v>456</v>
      </c>
      <c r="D145" s="155"/>
      <c r="E145" s="78"/>
      <c r="F145" s="72"/>
      <c r="G145" s="84"/>
      <c r="H145" s="93"/>
      <c r="I145" s="156"/>
      <c r="J145" s="112"/>
      <c r="K145" s="292">
        <v>0</v>
      </c>
      <c r="L145" s="290">
        <v>0</v>
      </c>
      <c r="M145" s="291">
        <v>0</v>
      </c>
      <c r="N145" s="291">
        <v>0</v>
      </c>
      <c r="O145" s="291">
        <v>15000000</v>
      </c>
      <c r="P145" s="291">
        <v>15000000</v>
      </c>
      <c r="Q145" s="205"/>
    </row>
    <row r="146" spans="1:17" s="206" customFormat="1" ht="62.4" x14ac:dyDescent="0.3">
      <c r="A146" s="514"/>
      <c r="B146" s="84" t="s">
        <v>457</v>
      </c>
      <c r="C146" s="150" t="s">
        <v>458</v>
      </c>
      <c r="D146" s="155"/>
      <c r="E146" s="78"/>
      <c r="F146" s="72"/>
      <c r="G146" s="84"/>
      <c r="H146" s="93"/>
      <c r="I146" s="156"/>
      <c r="J146" s="112"/>
      <c r="K146" s="292">
        <v>0</v>
      </c>
      <c r="L146" s="290">
        <v>0</v>
      </c>
      <c r="M146" s="291">
        <v>0</v>
      </c>
      <c r="N146" s="291">
        <v>1200000</v>
      </c>
      <c r="O146" s="291">
        <v>0</v>
      </c>
      <c r="P146" s="291">
        <v>1200000</v>
      </c>
      <c r="Q146" s="205"/>
    </row>
    <row r="147" spans="1:17" s="193" customFormat="1" ht="172.2" thickBot="1" x14ac:dyDescent="0.35">
      <c r="A147" s="515"/>
      <c r="B147" s="84" t="s">
        <v>452</v>
      </c>
      <c r="C147" s="23" t="s">
        <v>459</v>
      </c>
      <c r="D147" s="155"/>
      <c r="E147" s="17"/>
      <c r="F147" s="25"/>
      <c r="G147" s="84"/>
      <c r="H147" s="93"/>
      <c r="I147" s="156"/>
      <c r="J147" s="112"/>
      <c r="K147" s="292">
        <v>0</v>
      </c>
      <c r="L147" s="292">
        <v>0</v>
      </c>
      <c r="M147" s="357">
        <f t="shared" si="7"/>
        <v>0</v>
      </c>
      <c r="N147" s="291">
        <v>0</v>
      </c>
      <c r="O147" s="291">
        <v>0</v>
      </c>
      <c r="P147" s="291">
        <f t="shared" si="8"/>
        <v>0</v>
      </c>
      <c r="Q147" s="205"/>
    </row>
    <row r="148" spans="1:17" s="193" customFormat="1" ht="32.4" thickBot="1" x14ac:dyDescent="0.4">
      <c r="A148" s="524" t="s">
        <v>460</v>
      </c>
      <c r="B148" s="475"/>
      <c r="C148" s="475"/>
      <c r="D148" s="475"/>
      <c r="E148" s="475"/>
      <c r="F148" s="475"/>
      <c r="G148" s="525"/>
      <c r="H148" s="157">
        <f>SUM(H96:H147)</f>
        <v>318929988</v>
      </c>
      <c r="I148" s="158">
        <f>SUM(I96:I141)</f>
        <v>71000000</v>
      </c>
      <c r="J148" s="159">
        <f t="shared" ref="J148:O148" si="12">SUM(J96:J147)</f>
        <v>-6000000</v>
      </c>
      <c r="K148" s="160">
        <f t="shared" si="12"/>
        <v>397128788</v>
      </c>
      <c r="L148" s="360">
        <f t="shared" si="12"/>
        <v>80500446</v>
      </c>
      <c r="M148" s="358">
        <f t="shared" si="12"/>
        <v>316628342</v>
      </c>
      <c r="N148" s="293">
        <f t="shared" si="12"/>
        <v>0</v>
      </c>
      <c r="O148" s="293">
        <f t="shared" si="12"/>
        <v>120500000</v>
      </c>
      <c r="P148" s="293">
        <f t="shared" si="8"/>
        <v>437128342</v>
      </c>
      <c r="Q148" s="209"/>
    </row>
    <row r="149" spans="1:17" s="193" customFormat="1" ht="47.25" customHeight="1" thickBot="1" x14ac:dyDescent="0.4">
      <c r="A149" s="348" t="s">
        <v>461</v>
      </c>
      <c r="B149" s="349"/>
      <c r="C149" s="458"/>
      <c r="D149" s="349"/>
      <c r="E149" s="349"/>
      <c r="F149" s="349"/>
      <c r="G149" s="349"/>
      <c r="H149" s="349"/>
      <c r="I149" s="349"/>
      <c r="J149" s="349"/>
      <c r="K149" s="349"/>
      <c r="L149" s="359"/>
      <c r="M149" s="349"/>
      <c r="N149" s="349"/>
      <c r="O149" s="349"/>
      <c r="P149" s="349"/>
      <c r="Q149" s="202"/>
    </row>
    <row r="150" spans="1:17" s="193" customFormat="1" ht="70.8" thickTop="1" thickBot="1" x14ac:dyDescent="0.35">
      <c r="A150" s="294" t="s">
        <v>4</v>
      </c>
      <c r="B150" s="295" t="s">
        <v>5</v>
      </c>
      <c r="C150" s="454" t="s">
        <v>6</v>
      </c>
      <c r="D150" s="297" t="s">
        <v>7</v>
      </c>
      <c r="E150" s="298" t="s">
        <v>8</v>
      </c>
      <c r="F150" s="299" t="s">
        <v>9</v>
      </c>
      <c r="G150" s="300" t="s">
        <v>10</v>
      </c>
      <c r="H150" s="301" t="s">
        <v>11</v>
      </c>
      <c r="I150" s="302" t="s">
        <v>462</v>
      </c>
      <c r="J150" s="302" t="s">
        <v>13</v>
      </c>
      <c r="K150" s="303" t="s">
        <v>14</v>
      </c>
      <c r="L150" s="188" t="s">
        <v>15</v>
      </c>
      <c r="M150" s="304" t="s">
        <v>16</v>
      </c>
      <c r="N150" s="188" t="s">
        <v>17</v>
      </c>
      <c r="O150" s="304" t="s">
        <v>18</v>
      </c>
      <c r="P150" s="304" t="s">
        <v>19</v>
      </c>
    </row>
    <row r="151" spans="1:17" s="193" customFormat="1" ht="31.2" x14ac:dyDescent="0.3">
      <c r="A151" s="514" t="s">
        <v>463</v>
      </c>
      <c r="B151" s="161" t="s">
        <v>464</v>
      </c>
      <c r="C151" s="102" t="s">
        <v>465</v>
      </c>
      <c r="D151" s="27">
        <v>42583</v>
      </c>
      <c r="E151" s="28" t="s">
        <v>466</v>
      </c>
      <c r="F151" s="101" t="s">
        <v>467</v>
      </c>
      <c r="G151" s="29" t="s">
        <v>468</v>
      </c>
      <c r="H151" s="93">
        <v>120000</v>
      </c>
      <c r="I151" s="93">
        <v>0</v>
      </c>
      <c r="J151" s="93">
        <v>0</v>
      </c>
      <c r="K151" s="363">
        <f t="shared" ref="K151:K156" si="13">SUM(H151:J151)</f>
        <v>120000</v>
      </c>
      <c r="L151" s="307">
        <v>120000</v>
      </c>
      <c r="M151" s="363">
        <f>K151-L151</f>
        <v>0</v>
      </c>
      <c r="N151" s="373">
        <v>0</v>
      </c>
      <c r="O151" s="373">
        <v>0</v>
      </c>
      <c r="P151" s="373">
        <f>SUM(M151:O151)</f>
        <v>0</v>
      </c>
    </row>
    <row r="152" spans="1:17" s="193" customFormat="1" ht="31.2" x14ac:dyDescent="0.3">
      <c r="A152" s="514"/>
      <c r="B152" s="162" t="s">
        <v>469</v>
      </c>
      <c r="C152" s="18" t="s">
        <v>470</v>
      </c>
      <c r="D152" s="24">
        <v>42583</v>
      </c>
      <c r="E152" s="17" t="s">
        <v>471</v>
      </c>
      <c r="F152" s="101" t="s">
        <v>472</v>
      </c>
      <c r="G152" s="29" t="s">
        <v>468</v>
      </c>
      <c r="H152" s="93">
        <v>1000000</v>
      </c>
      <c r="I152" s="93">
        <v>0</v>
      </c>
      <c r="J152" s="93">
        <v>0</v>
      </c>
      <c r="K152" s="363">
        <f t="shared" si="13"/>
        <v>1000000</v>
      </c>
      <c r="L152" s="307">
        <v>0</v>
      </c>
      <c r="M152" s="363">
        <f t="shared" ref="M152:M215" si="14">K152-L152</f>
        <v>1000000</v>
      </c>
      <c r="N152" s="373">
        <v>0</v>
      </c>
      <c r="O152" s="373">
        <v>0</v>
      </c>
      <c r="P152" s="373">
        <f t="shared" ref="P152:P215" si="15">SUM(M152:O152)</f>
        <v>1000000</v>
      </c>
    </row>
    <row r="153" spans="1:17" s="193" customFormat="1" ht="78" x14ac:dyDescent="0.3">
      <c r="A153" s="514"/>
      <c r="B153" s="162" t="s">
        <v>473</v>
      </c>
      <c r="C153" s="18" t="s">
        <v>474</v>
      </c>
      <c r="D153" s="24">
        <v>42644</v>
      </c>
      <c r="E153" s="17" t="s">
        <v>475</v>
      </c>
      <c r="F153" s="101" t="s">
        <v>472</v>
      </c>
      <c r="G153" s="29" t="s">
        <v>468</v>
      </c>
      <c r="H153" s="93">
        <v>229100</v>
      </c>
      <c r="I153" s="93"/>
      <c r="J153" s="93">
        <f>3000000-1000000</f>
        <v>2000000</v>
      </c>
      <c r="K153" s="363">
        <f t="shared" si="13"/>
        <v>2229100</v>
      </c>
      <c r="L153" s="307">
        <f>2300900-71800</f>
        <v>2229100</v>
      </c>
      <c r="M153" s="363">
        <f t="shared" si="14"/>
        <v>0</v>
      </c>
      <c r="N153" s="373">
        <v>0</v>
      </c>
      <c r="O153" s="373">
        <v>0</v>
      </c>
      <c r="P153" s="373">
        <f t="shared" si="15"/>
        <v>0</v>
      </c>
    </row>
    <row r="154" spans="1:17" s="193" customFormat="1" ht="62.4" x14ac:dyDescent="0.3">
      <c r="A154" s="514"/>
      <c r="B154" s="162" t="s">
        <v>476</v>
      </c>
      <c r="C154" s="18" t="s">
        <v>477</v>
      </c>
      <c r="D154" s="24">
        <v>42705</v>
      </c>
      <c r="E154" s="17" t="s">
        <v>466</v>
      </c>
      <c r="F154" s="101" t="s">
        <v>467</v>
      </c>
      <c r="G154" s="29" t="s">
        <v>468</v>
      </c>
      <c r="H154" s="93">
        <v>-495100</v>
      </c>
      <c r="I154" s="93"/>
      <c r="J154" s="93">
        <f>504900+495100+1000000-500000</f>
        <v>1500000</v>
      </c>
      <c r="K154" s="363">
        <f t="shared" si="13"/>
        <v>1004900</v>
      </c>
      <c r="L154" s="307">
        <v>667000</v>
      </c>
      <c r="M154" s="363">
        <f t="shared" si="14"/>
        <v>337900</v>
      </c>
      <c r="N154" s="373">
        <v>0</v>
      </c>
      <c r="O154" s="373">
        <v>0</v>
      </c>
      <c r="P154" s="373">
        <f t="shared" si="15"/>
        <v>337900</v>
      </c>
    </row>
    <row r="155" spans="1:17" s="193" customFormat="1" ht="62.4" x14ac:dyDescent="0.3">
      <c r="A155" s="514"/>
      <c r="B155" s="162" t="s">
        <v>478</v>
      </c>
      <c r="C155" s="18" t="s">
        <v>479</v>
      </c>
      <c r="D155" s="24">
        <v>42583</v>
      </c>
      <c r="E155" s="17" t="s">
        <v>480</v>
      </c>
      <c r="F155" s="101" t="s">
        <v>481</v>
      </c>
      <c r="G155" s="29" t="s">
        <v>468</v>
      </c>
      <c r="H155" s="93">
        <v>-3801727</v>
      </c>
      <c r="I155" s="93"/>
      <c r="J155" s="93">
        <v>9000000</v>
      </c>
      <c r="K155" s="363">
        <f t="shared" si="13"/>
        <v>5198273</v>
      </c>
      <c r="L155" s="307">
        <f>7300500-2102227</f>
        <v>5198273</v>
      </c>
      <c r="M155" s="363">
        <f t="shared" si="14"/>
        <v>0</v>
      </c>
      <c r="N155" s="373">
        <v>0</v>
      </c>
      <c r="O155" s="373">
        <v>0</v>
      </c>
      <c r="P155" s="373">
        <f t="shared" si="15"/>
        <v>0</v>
      </c>
    </row>
    <row r="156" spans="1:17" s="193" customFormat="1" ht="31.2" x14ac:dyDescent="0.3">
      <c r="A156" s="514"/>
      <c r="B156" s="162" t="s">
        <v>482</v>
      </c>
      <c r="C156" s="18" t="s">
        <v>483</v>
      </c>
      <c r="D156" s="24">
        <v>42644</v>
      </c>
      <c r="E156" s="17" t="s">
        <v>466</v>
      </c>
      <c r="F156" s="101" t="s">
        <v>484</v>
      </c>
      <c r="G156" s="29" t="s">
        <v>468</v>
      </c>
      <c r="H156" s="93">
        <v>373000</v>
      </c>
      <c r="I156" s="93"/>
      <c r="J156" s="93">
        <v>0</v>
      </c>
      <c r="K156" s="363">
        <f t="shared" si="13"/>
        <v>373000</v>
      </c>
      <c r="L156" s="307">
        <v>0</v>
      </c>
      <c r="M156" s="363">
        <f t="shared" si="14"/>
        <v>373000</v>
      </c>
      <c r="N156" s="373">
        <v>-373000</v>
      </c>
      <c r="O156" s="373">
        <v>0</v>
      </c>
      <c r="P156" s="373">
        <f t="shared" si="15"/>
        <v>0</v>
      </c>
    </row>
    <row r="157" spans="1:17" s="193" customFormat="1" ht="31.2" x14ac:dyDescent="0.3">
      <c r="A157" s="514"/>
      <c r="B157" s="162" t="s">
        <v>485</v>
      </c>
      <c r="C157" s="32" t="s">
        <v>1145</v>
      </c>
      <c r="D157" s="24">
        <v>42552</v>
      </c>
      <c r="E157" s="17" t="s">
        <v>486</v>
      </c>
      <c r="F157" s="101" t="s">
        <v>487</v>
      </c>
      <c r="G157" s="29" t="s">
        <v>468</v>
      </c>
      <c r="H157" s="93">
        <v>3000000</v>
      </c>
      <c r="I157" s="93">
        <v>0</v>
      </c>
      <c r="J157" s="93">
        <v>-500000</v>
      </c>
      <c r="K157" s="363">
        <f>SUM(H157:J157)</f>
        <v>2500000</v>
      </c>
      <c r="L157" s="307">
        <v>0</v>
      </c>
      <c r="M157" s="363">
        <f t="shared" si="14"/>
        <v>2500000</v>
      </c>
      <c r="N157" s="373">
        <v>0</v>
      </c>
      <c r="O157" s="373">
        <v>0</v>
      </c>
      <c r="P157" s="373">
        <f t="shared" si="15"/>
        <v>2500000</v>
      </c>
    </row>
    <row r="158" spans="1:17" s="193" customFormat="1" ht="31.2" x14ac:dyDescent="0.3">
      <c r="A158" s="514"/>
      <c r="B158" s="162" t="s">
        <v>488</v>
      </c>
      <c r="C158" s="32" t="s">
        <v>489</v>
      </c>
      <c r="D158" s="24">
        <v>42705</v>
      </c>
      <c r="E158" s="479" t="s">
        <v>490</v>
      </c>
      <c r="F158" s="479" t="s">
        <v>491</v>
      </c>
      <c r="G158" s="506" t="s">
        <v>468</v>
      </c>
      <c r="H158" s="93">
        <v>0</v>
      </c>
      <c r="I158" s="93"/>
      <c r="J158" s="93">
        <v>3000000</v>
      </c>
      <c r="K158" s="363">
        <f t="shared" ref="K158:K183" si="16">SUM(H158:J158)</f>
        <v>3000000</v>
      </c>
      <c r="L158" s="307">
        <v>3000000</v>
      </c>
      <c r="M158" s="363">
        <f t="shared" si="14"/>
        <v>0</v>
      </c>
      <c r="N158" s="373">
        <v>0</v>
      </c>
      <c r="O158" s="373">
        <v>0</v>
      </c>
      <c r="P158" s="373">
        <f t="shared" si="15"/>
        <v>0</v>
      </c>
    </row>
    <row r="159" spans="1:17" s="193" customFormat="1" ht="46.8" x14ac:dyDescent="0.3">
      <c r="A159" s="514"/>
      <c r="B159" s="162" t="s">
        <v>492</v>
      </c>
      <c r="C159" s="32" t="s">
        <v>493</v>
      </c>
      <c r="D159" s="24">
        <v>42705</v>
      </c>
      <c r="E159" s="486"/>
      <c r="F159" s="486"/>
      <c r="G159" s="507"/>
      <c r="H159" s="93">
        <v>0</v>
      </c>
      <c r="I159" s="93">
        <v>5000000</v>
      </c>
      <c r="J159" s="93">
        <v>-1500000</v>
      </c>
      <c r="K159" s="363">
        <f t="shared" si="16"/>
        <v>3500000</v>
      </c>
      <c r="L159" s="307">
        <f>2102227+570000+274600+200</f>
        <v>2947027</v>
      </c>
      <c r="M159" s="363">
        <f t="shared" si="14"/>
        <v>552973</v>
      </c>
      <c r="N159" s="373">
        <v>0</v>
      </c>
      <c r="O159" s="373">
        <v>0</v>
      </c>
      <c r="P159" s="373">
        <f t="shared" si="15"/>
        <v>552973</v>
      </c>
    </row>
    <row r="160" spans="1:17" s="193" customFormat="1" ht="31.2" x14ac:dyDescent="0.3">
      <c r="A160" s="514"/>
      <c r="B160" s="162" t="s">
        <v>494</v>
      </c>
      <c r="C160" s="32" t="s">
        <v>495</v>
      </c>
      <c r="D160" s="24">
        <v>42705</v>
      </c>
      <c r="E160" s="480"/>
      <c r="F160" s="486"/>
      <c r="G160" s="507"/>
      <c r="H160" s="93">
        <v>0</v>
      </c>
      <c r="I160" s="93">
        <v>2000000</v>
      </c>
      <c r="J160" s="93"/>
      <c r="K160" s="363">
        <f t="shared" si="16"/>
        <v>2000000</v>
      </c>
      <c r="L160" s="307">
        <v>2000000</v>
      </c>
      <c r="M160" s="363">
        <f t="shared" si="14"/>
        <v>0</v>
      </c>
      <c r="N160" s="373">
        <v>0</v>
      </c>
      <c r="O160" s="373">
        <v>0</v>
      </c>
      <c r="P160" s="373">
        <f t="shared" si="15"/>
        <v>0</v>
      </c>
    </row>
    <row r="161" spans="1:16" s="193" customFormat="1" ht="93.6" x14ac:dyDescent="0.3">
      <c r="A161" s="514"/>
      <c r="B161" s="162" t="s">
        <v>496</v>
      </c>
      <c r="C161" s="32" t="s">
        <v>497</v>
      </c>
      <c r="D161" s="24">
        <v>42705</v>
      </c>
      <c r="E161" s="17" t="s">
        <v>498</v>
      </c>
      <c r="F161" s="480"/>
      <c r="G161" s="508"/>
      <c r="H161" s="93">
        <v>0</v>
      </c>
      <c r="I161" s="93">
        <v>5000000</v>
      </c>
      <c r="J161" s="93">
        <f>-1500000</f>
        <v>-1500000</v>
      </c>
      <c r="K161" s="363">
        <f t="shared" si="16"/>
        <v>3500000</v>
      </c>
      <c r="L161" s="307">
        <f>3774600-274600</f>
        <v>3500000</v>
      </c>
      <c r="M161" s="363">
        <f t="shared" si="14"/>
        <v>0</v>
      </c>
      <c r="N161" s="373">
        <v>0</v>
      </c>
      <c r="O161" s="373">
        <v>0</v>
      </c>
      <c r="P161" s="373">
        <f t="shared" si="15"/>
        <v>0</v>
      </c>
    </row>
    <row r="162" spans="1:16" s="193" customFormat="1" ht="20.399999999999999" x14ac:dyDescent="0.3">
      <c r="A162" s="514"/>
      <c r="B162" s="162" t="s">
        <v>499</v>
      </c>
      <c r="C162" s="32" t="s">
        <v>500</v>
      </c>
      <c r="D162" s="24">
        <v>42657</v>
      </c>
      <c r="E162" s="17" t="s">
        <v>501</v>
      </c>
      <c r="F162" s="17" t="s">
        <v>502</v>
      </c>
      <c r="G162" s="29" t="s">
        <v>468</v>
      </c>
      <c r="H162" s="93">
        <v>1000000</v>
      </c>
      <c r="I162" s="93"/>
      <c r="J162" s="93">
        <v>-1000000</v>
      </c>
      <c r="K162" s="363">
        <f t="shared" si="16"/>
        <v>0</v>
      </c>
      <c r="L162" s="307">
        <v>0</v>
      </c>
      <c r="M162" s="363">
        <f t="shared" si="14"/>
        <v>0</v>
      </c>
      <c r="N162" s="373">
        <v>0</v>
      </c>
      <c r="O162" s="373">
        <v>0</v>
      </c>
      <c r="P162" s="373">
        <f t="shared" si="15"/>
        <v>0</v>
      </c>
    </row>
    <row r="163" spans="1:16" s="193" customFormat="1" ht="62.4" x14ac:dyDescent="0.3">
      <c r="A163" s="514"/>
      <c r="B163" s="162" t="s">
        <v>503</v>
      </c>
      <c r="C163" s="18" t="s">
        <v>1146</v>
      </c>
      <c r="D163" s="24">
        <v>42657</v>
      </c>
      <c r="E163" s="17" t="s">
        <v>486</v>
      </c>
      <c r="F163" s="101" t="s">
        <v>504</v>
      </c>
      <c r="G163" s="29" t="s">
        <v>468</v>
      </c>
      <c r="H163" s="93">
        <v>-510200</v>
      </c>
      <c r="I163" s="93"/>
      <c r="J163" s="93">
        <f>-H163</f>
        <v>510200</v>
      </c>
      <c r="K163" s="363">
        <f t="shared" si="16"/>
        <v>0</v>
      </c>
      <c r="L163" s="307">
        <v>0</v>
      </c>
      <c r="M163" s="363">
        <f t="shared" si="14"/>
        <v>0</v>
      </c>
      <c r="N163" s="373">
        <v>0</v>
      </c>
      <c r="O163" s="373">
        <v>0</v>
      </c>
      <c r="P163" s="373">
        <f t="shared" si="15"/>
        <v>0</v>
      </c>
    </row>
    <row r="164" spans="1:16" s="193" customFormat="1" ht="62.4" x14ac:dyDescent="0.3">
      <c r="A164" s="514"/>
      <c r="B164" s="162" t="s">
        <v>505</v>
      </c>
      <c r="C164" s="32" t="s">
        <v>506</v>
      </c>
      <c r="D164" s="24">
        <v>42657</v>
      </c>
      <c r="E164" s="17" t="s">
        <v>507</v>
      </c>
      <c r="F164" s="17" t="s">
        <v>502</v>
      </c>
      <c r="G164" s="29" t="s">
        <v>468</v>
      </c>
      <c r="H164" s="93">
        <v>-50100</v>
      </c>
      <c r="I164" s="93"/>
      <c r="J164" s="93">
        <f>50100</f>
        <v>50100</v>
      </c>
      <c r="K164" s="363">
        <f t="shared" si="16"/>
        <v>0</v>
      </c>
      <c r="L164" s="307">
        <v>0</v>
      </c>
      <c r="M164" s="363">
        <f t="shared" si="14"/>
        <v>0</v>
      </c>
      <c r="N164" s="373">
        <v>0</v>
      </c>
      <c r="O164" s="373">
        <v>0</v>
      </c>
      <c r="P164" s="373">
        <f t="shared" si="15"/>
        <v>0</v>
      </c>
    </row>
    <row r="165" spans="1:16" s="193" customFormat="1" ht="124.8" x14ac:dyDescent="0.3">
      <c r="A165" s="514"/>
      <c r="B165" s="162" t="s">
        <v>508</v>
      </c>
      <c r="C165" s="32" t="s">
        <v>509</v>
      </c>
      <c r="D165" s="163" t="s">
        <v>510</v>
      </c>
      <c r="E165" s="17" t="s">
        <v>486</v>
      </c>
      <c r="F165" s="101" t="s">
        <v>491</v>
      </c>
      <c r="G165" s="29" t="s">
        <v>468</v>
      </c>
      <c r="H165" s="93">
        <v>194900</v>
      </c>
      <c r="I165" s="93"/>
      <c r="J165" s="93">
        <f>-194900</f>
        <v>-194900</v>
      </c>
      <c r="K165" s="363">
        <f t="shared" si="16"/>
        <v>0</v>
      </c>
      <c r="L165" s="307">
        <v>0</v>
      </c>
      <c r="M165" s="363">
        <f t="shared" si="14"/>
        <v>0</v>
      </c>
      <c r="N165" s="373">
        <v>0</v>
      </c>
      <c r="O165" s="373">
        <v>0</v>
      </c>
      <c r="P165" s="373">
        <f t="shared" si="15"/>
        <v>0</v>
      </c>
    </row>
    <row r="166" spans="1:16" s="193" customFormat="1" ht="31.2" x14ac:dyDescent="0.3">
      <c r="A166" s="514"/>
      <c r="B166" s="162" t="s">
        <v>511</v>
      </c>
      <c r="C166" s="32" t="s">
        <v>512</v>
      </c>
      <c r="D166" s="27">
        <v>42596</v>
      </c>
      <c r="E166" s="78" t="s">
        <v>513</v>
      </c>
      <c r="F166" s="101" t="s">
        <v>491</v>
      </c>
      <c r="G166" s="29" t="s">
        <v>468</v>
      </c>
      <c r="H166" s="93">
        <v>0</v>
      </c>
      <c r="I166" s="93"/>
      <c r="J166" s="93">
        <v>500000</v>
      </c>
      <c r="K166" s="363">
        <f t="shared" si="16"/>
        <v>500000</v>
      </c>
      <c r="L166" s="307">
        <v>0</v>
      </c>
      <c r="M166" s="363">
        <f t="shared" si="14"/>
        <v>500000</v>
      </c>
      <c r="N166" s="373">
        <v>0</v>
      </c>
      <c r="O166" s="373">
        <v>0</v>
      </c>
      <c r="P166" s="373">
        <f t="shared" si="15"/>
        <v>500000</v>
      </c>
    </row>
    <row r="167" spans="1:16" s="193" customFormat="1" ht="31.2" x14ac:dyDescent="0.3">
      <c r="A167" s="514"/>
      <c r="B167" s="162" t="s">
        <v>514</v>
      </c>
      <c r="C167" s="32" t="s">
        <v>515</v>
      </c>
      <c r="D167" s="526"/>
      <c r="E167" s="479" t="s">
        <v>358</v>
      </c>
      <c r="F167" s="77"/>
      <c r="G167" s="164"/>
      <c r="H167" s="93">
        <v>0</v>
      </c>
      <c r="I167" s="93">
        <v>1000000</v>
      </c>
      <c r="J167" s="93">
        <v>-1000000</v>
      </c>
      <c r="K167" s="363">
        <f t="shared" si="16"/>
        <v>0</v>
      </c>
      <c r="L167" s="307">
        <v>0</v>
      </c>
      <c r="M167" s="363">
        <f t="shared" si="14"/>
        <v>0</v>
      </c>
      <c r="N167" s="373">
        <v>0</v>
      </c>
      <c r="O167" s="373">
        <v>0</v>
      </c>
      <c r="P167" s="373">
        <f t="shared" si="15"/>
        <v>0</v>
      </c>
    </row>
    <row r="168" spans="1:16" s="193" customFormat="1" ht="47.4" thickBot="1" x14ac:dyDescent="0.35">
      <c r="A168" s="515"/>
      <c r="B168" s="165" t="s">
        <v>516</v>
      </c>
      <c r="C168" s="153" t="s">
        <v>517</v>
      </c>
      <c r="D168" s="527"/>
      <c r="E168" s="486"/>
      <c r="F168" s="28"/>
      <c r="G168" s="166"/>
      <c r="H168" s="93">
        <v>0</v>
      </c>
      <c r="I168" s="93">
        <v>2000000</v>
      </c>
      <c r="J168" s="141">
        <v>-2000000</v>
      </c>
      <c r="K168" s="363">
        <f t="shared" si="16"/>
        <v>0</v>
      </c>
      <c r="L168" s="307">
        <v>0</v>
      </c>
      <c r="M168" s="363">
        <f t="shared" si="14"/>
        <v>0</v>
      </c>
      <c r="N168" s="373">
        <v>0</v>
      </c>
      <c r="O168" s="373">
        <v>0</v>
      </c>
      <c r="P168" s="373">
        <f t="shared" si="15"/>
        <v>0</v>
      </c>
    </row>
    <row r="169" spans="1:16" s="193" customFormat="1" ht="261" x14ac:dyDescent="0.3">
      <c r="A169" s="167" t="s">
        <v>518</v>
      </c>
      <c r="B169" s="29" t="s">
        <v>519</v>
      </c>
      <c r="C169" s="18" t="s">
        <v>520</v>
      </c>
      <c r="D169" s="24"/>
      <c r="E169" s="17"/>
      <c r="F169" s="28"/>
      <c r="G169" s="166"/>
      <c r="H169" s="93"/>
      <c r="I169" s="109"/>
      <c r="J169" s="168"/>
      <c r="K169" s="374">
        <v>0</v>
      </c>
      <c r="L169" s="307">
        <v>0</v>
      </c>
      <c r="M169" s="363">
        <f t="shared" si="14"/>
        <v>0</v>
      </c>
      <c r="N169" s="373">
        <v>0</v>
      </c>
      <c r="O169" s="373">
        <v>10000000</v>
      </c>
      <c r="P169" s="373">
        <f t="shared" si="15"/>
        <v>10000000</v>
      </c>
    </row>
    <row r="170" spans="1:16" s="193" customFormat="1" ht="139.80000000000001" thickBot="1" x14ac:dyDescent="0.35">
      <c r="A170" s="88" t="s">
        <v>521</v>
      </c>
      <c r="B170" s="161" t="s">
        <v>522</v>
      </c>
      <c r="C170" s="102" t="s">
        <v>523</v>
      </c>
      <c r="D170" s="27"/>
      <c r="E170" s="28"/>
      <c r="F170" s="28"/>
      <c r="G170" s="166"/>
      <c r="H170" s="169"/>
      <c r="I170" s="109"/>
      <c r="J170" s="168"/>
      <c r="K170" s="374">
        <v>0</v>
      </c>
      <c r="L170" s="307">
        <v>0</v>
      </c>
      <c r="M170" s="363">
        <f t="shared" si="14"/>
        <v>0</v>
      </c>
      <c r="N170" s="373">
        <v>0</v>
      </c>
      <c r="O170" s="373">
        <v>10000000</v>
      </c>
      <c r="P170" s="373">
        <f t="shared" si="15"/>
        <v>10000000</v>
      </c>
    </row>
    <row r="171" spans="1:16" s="193" customFormat="1" ht="35.4" thickTop="1" x14ac:dyDescent="0.3">
      <c r="A171" s="531" t="s">
        <v>524</v>
      </c>
      <c r="B171" s="170" t="s">
        <v>525</v>
      </c>
      <c r="C171" s="102" t="s">
        <v>526</v>
      </c>
      <c r="D171" s="27">
        <v>42596</v>
      </c>
      <c r="E171" s="30" t="s">
        <v>527</v>
      </c>
      <c r="F171" s="171" t="s">
        <v>528</v>
      </c>
      <c r="G171" s="31" t="s">
        <v>529</v>
      </c>
      <c r="H171" s="109">
        <v>10376763</v>
      </c>
      <c r="I171" s="172">
        <v>0</v>
      </c>
      <c r="J171" s="172">
        <v>0</v>
      </c>
      <c r="K171" s="374">
        <f t="shared" si="16"/>
        <v>10376763</v>
      </c>
      <c r="L171" s="307">
        <v>9701742</v>
      </c>
      <c r="M171" s="363">
        <f t="shared" si="14"/>
        <v>675021</v>
      </c>
      <c r="N171" s="373">
        <v>0</v>
      </c>
      <c r="O171" s="373">
        <v>0</v>
      </c>
      <c r="P171" s="373">
        <f t="shared" si="15"/>
        <v>675021</v>
      </c>
    </row>
    <row r="172" spans="1:16" s="193" customFormat="1" ht="34.799999999999997" x14ac:dyDescent="0.3">
      <c r="A172" s="531"/>
      <c r="B172" s="170" t="s">
        <v>530</v>
      </c>
      <c r="C172" s="32" t="s">
        <v>531</v>
      </c>
      <c r="D172" s="24">
        <v>42596</v>
      </c>
      <c r="E172" s="33" t="s">
        <v>532</v>
      </c>
      <c r="F172" s="101" t="s">
        <v>533</v>
      </c>
      <c r="G172" s="34" t="s">
        <v>529</v>
      </c>
      <c r="H172" s="93">
        <v>5895000</v>
      </c>
      <c r="I172" s="93"/>
      <c r="J172" s="93">
        <v>0</v>
      </c>
      <c r="K172" s="363">
        <f t="shared" si="16"/>
        <v>5895000</v>
      </c>
      <c r="L172" s="307">
        <v>0</v>
      </c>
      <c r="M172" s="363">
        <f t="shared" si="14"/>
        <v>5895000</v>
      </c>
      <c r="N172" s="373">
        <v>-5895000</v>
      </c>
      <c r="O172" s="373">
        <v>0</v>
      </c>
      <c r="P172" s="373">
        <f t="shared" si="15"/>
        <v>0</v>
      </c>
    </row>
    <row r="173" spans="1:16" s="193" customFormat="1" ht="34.799999999999997" x14ac:dyDescent="0.3">
      <c r="A173" s="531"/>
      <c r="B173" s="173" t="s">
        <v>534</v>
      </c>
      <c r="C173" s="32" t="s">
        <v>535</v>
      </c>
      <c r="D173" s="24">
        <v>42583</v>
      </c>
      <c r="E173" s="33" t="s">
        <v>536</v>
      </c>
      <c r="F173" s="101" t="s">
        <v>537</v>
      </c>
      <c r="G173" s="34" t="s">
        <v>529</v>
      </c>
      <c r="H173" s="93">
        <v>1698000</v>
      </c>
      <c r="I173" s="93"/>
      <c r="J173" s="93">
        <v>0</v>
      </c>
      <c r="K173" s="363">
        <f t="shared" si="16"/>
        <v>1698000</v>
      </c>
      <c r="L173" s="307">
        <v>0</v>
      </c>
      <c r="M173" s="363">
        <f t="shared" si="14"/>
        <v>1698000</v>
      </c>
      <c r="N173" s="373">
        <v>-1698000</v>
      </c>
      <c r="O173" s="373">
        <v>0</v>
      </c>
      <c r="P173" s="373">
        <f t="shared" si="15"/>
        <v>0</v>
      </c>
    </row>
    <row r="174" spans="1:16" s="193" customFormat="1" ht="46.8" x14ac:dyDescent="0.3">
      <c r="A174" s="531"/>
      <c r="B174" s="173" t="s">
        <v>538</v>
      </c>
      <c r="C174" s="32" t="s">
        <v>539</v>
      </c>
      <c r="D174" s="24">
        <v>42596</v>
      </c>
      <c r="E174" s="33" t="s">
        <v>540</v>
      </c>
      <c r="F174" s="101" t="s">
        <v>528</v>
      </c>
      <c r="G174" s="34" t="s">
        <v>529</v>
      </c>
      <c r="H174" s="93">
        <v>15300000</v>
      </c>
      <c r="I174" s="93">
        <v>0</v>
      </c>
      <c r="J174" s="93">
        <v>0</v>
      </c>
      <c r="K174" s="363">
        <f t="shared" si="16"/>
        <v>15300000</v>
      </c>
      <c r="L174" s="307">
        <f>5853973+520000</f>
        <v>6373973</v>
      </c>
      <c r="M174" s="363">
        <f t="shared" si="14"/>
        <v>8926027</v>
      </c>
      <c r="N174" s="373">
        <v>-2000000</v>
      </c>
      <c r="O174" s="373">
        <v>0</v>
      </c>
      <c r="P174" s="373">
        <f t="shared" si="15"/>
        <v>6926027</v>
      </c>
    </row>
    <row r="175" spans="1:16" s="193" customFormat="1" ht="46.8" x14ac:dyDescent="0.3">
      <c r="A175" s="531"/>
      <c r="B175" s="173" t="s">
        <v>541</v>
      </c>
      <c r="C175" s="32" t="s">
        <v>542</v>
      </c>
      <c r="D175" s="24">
        <v>42596</v>
      </c>
      <c r="E175" s="33" t="s">
        <v>543</v>
      </c>
      <c r="F175" s="101" t="s">
        <v>533</v>
      </c>
      <c r="G175" s="34" t="s">
        <v>529</v>
      </c>
      <c r="H175" s="93">
        <v>6500000</v>
      </c>
      <c r="I175" s="93">
        <v>0</v>
      </c>
      <c r="J175" s="93">
        <v>0</v>
      </c>
      <c r="K175" s="363">
        <f t="shared" si="16"/>
        <v>6500000</v>
      </c>
      <c r="L175" s="307">
        <v>5797100</v>
      </c>
      <c r="M175" s="363">
        <f t="shared" si="14"/>
        <v>702900</v>
      </c>
      <c r="N175" s="373">
        <v>0</v>
      </c>
      <c r="O175" s="373">
        <v>0</v>
      </c>
      <c r="P175" s="373">
        <f t="shared" si="15"/>
        <v>702900</v>
      </c>
    </row>
    <row r="176" spans="1:16" s="193" customFormat="1" ht="34.799999999999997" x14ac:dyDescent="0.3">
      <c r="A176" s="531"/>
      <c r="B176" s="173" t="s">
        <v>544</v>
      </c>
      <c r="C176" s="32" t="s">
        <v>545</v>
      </c>
      <c r="D176" s="24">
        <v>42688</v>
      </c>
      <c r="E176" s="33" t="s">
        <v>532</v>
      </c>
      <c r="F176" s="101" t="s">
        <v>533</v>
      </c>
      <c r="G176" s="34" t="s">
        <v>529</v>
      </c>
      <c r="H176" s="495">
        <v>63204797</v>
      </c>
      <c r="I176" s="495"/>
      <c r="J176" s="495">
        <v>-278496</v>
      </c>
      <c r="K176" s="364">
        <f>SUM(H176:J176)</f>
        <v>62926301</v>
      </c>
      <c r="L176" s="307">
        <v>838616</v>
      </c>
      <c r="M176" s="363">
        <f t="shared" si="14"/>
        <v>62087685</v>
      </c>
      <c r="N176" s="373">
        <v>0</v>
      </c>
      <c r="O176" s="373">
        <v>0</v>
      </c>
      <c r="P176" s="373">
        <f t="shared" si="15"/>
        <v>62087685</v>
      </c>
    </row>
    <row r="177" spans="1:16" s="193" customFormat="1" ht="46.8" x14ac:dyDescent="0.3">
      <c r="A177" s="531"/>
      <c r="B177" s="173" t="s">
        <v>546</v>
      </c>
      <c r="C177" s="32" t="s">
        <v>547</v>
      </c>
      <c r="D177" s="24">
        <v>42596</v>
      </c>
      <c r="E177" s="33" t="s">
        <v>548</v>
      </c>
      <c r="F177" s="101" t="s">
        <v>533</v>
      </c>
      <c r="G177" s="34" t="s">
        <v>549</v>
      </c>
      <c r="H177" s="496"/>
      <c r="I177" s="496"/>
      <c r="J177" s="496"/>
      <c r="K177" s="365"/>
      <c r="L177" s="307">
        <v>0</v>
      </c>
      <c r="M177" s="363">
        <f t="shared" si="14"/>
        <v>0</v>
      </c>
      <c r="N177" s="363">
        <v>4159945</v>
      </c>
      <c r="O177" s="373">
        <v>0</v>
      </c>
      <c r="P177" s="373">
        <f>SUM(N177:O177)</f>
        <v>4159945</v>
      </c>
    </row>
    <row r="178" spans="1:16" s="193" customFormat="1" ht="34.799999999999997" x14ac:dyDescent="0.3">
      <c r="A178" s="531"/>
      <c r="B178" s="173" t="s">
        <v>550</v>
      </c>
      <c r="C178" s="32" t="s">
        <v>551</v>
      </c>
      <c r="D178" s="24">
        <v>42657</v>
      </c>
      <c r="E178" s="33" t="s">
        <v>527</v>
      </c>
      <c r="F178" s="101" t="s">
        <v>528</v>
      </c>
      <c r="G178" s="34" t="s">
        <v>529</v>
      </c>
      <c r="H178" s="497"/>
      <c r="I178" s="497"/>
      <c r="J178" s="497"/>
      <c r="K178" s="366"/>
      <c r="L178" s="307">
        <v>0</v>
      </c>
      <c r="M178" s="363">
        <f t="shared" si="14"/>
        <v>0</v>
      </c>
      <c r="N178" s="373">
        <v>0</v>
      </c>
      <c r="O178" s="373">
        <v>0</v>
      </c>
      <c r="P178" s="373">
        <f t="shared" si="15"/>
        <v>0</v>
      </c>
    </row>
    <row r="179" spans="1:16" s="193" customFormat="1" ht="46.8" x14ac:dyDescent="0.3">
      <c r="A179" s="531"/>
      <c r="B179" s="173" t="s">
        <v>552</v>
      </c>
      <c r="C179" s="32" t="s">
        <v>553</v>
      </c>
      <c r="D179" s="24">
        <v>42596</v>
      </c>
      <c r="E179" s="33" t="s">
        <v>554</v>
      </c>
      <c r="F179" s="101" t="s">
        <v>537</v>
      </c>
      <c r="G179" s="34" t="s">
        <v>529</v>
      </c>
      <c r="H179" s="93">
        <v>2006000</v>
      </c>
      <c r="I179" s="93"/>
      <c r="J179" s="93">
        <v>-500000</v>
      </c>
      <c r="K179" s="363">
        <f t="shared" si="16"/>
        <v>1506000</v>
      </c>
      <c r="L179" s="307">
        <v>0</v>
      </c>
      <c r="M179" s="363">
        <f t="shared" si="14"/>
        <v>1506000</v>
      </c>
      <c r="N179" s="373">
        <v>-1506000</v>
      </c>
      <c r="O179" s="373">
        <v>0</v>
      </c>
      <c r="P179" s="373">
        <f t="shared" si="15"/>
        <v>0</v>
      </c>
    </row>
    <row r="180" spans="1:16" s="193" customFormat="1" ht="62.4" x14ac:dyDescent="0.3">
      <c r="A180" s="531"/>
      <c r="B180" s="173" t="s">
        <v>555</v>
      </c>
      <c r="C180" s="32" t="s">
        <v>556</v>
      </c>
      <c r="D180" s="24">
        <v>42705</v>
      </c>
      <c r="E180" s="33" t="s">
        <v>557</v>
      </c>
      <c r="F180" s="101" t="s">
        <v>537</v>
      </c>
      <c r="G180" s="34" t="s">
        <v>558</v>
      </c>
      <c r="H180" s="93">
        <v>3274700</v>
      </c>
      <c r="I180" s="93"/>
      <c r="J180" s="93">
        <v>0</v>
      </c>
      <c r="K180" s="363">
        <f t="shared" si="16"/>
        <v>3274700</v>
      </c>
      <c r="L180" s="307">
        <v>3274700</v>
      </c>
      <c r="M180" s="363">
        <f t="shared" si="14"/>
        <v>0</v>
      </c>
      <c r="N180" s="373">
        <v>0</v>
      </c>
      <c r="O180" s="373">
        <v>0</v>
      </c>
      <c r="P180" s="373">
        <f t="shared" si="15"/>
        <v>0</v>
      </c>
    </row>
    <row r="181" spans="1:16" s="193" customFormat="1" ht="46.8" x14ac:dyDescent="0.3">
      <c r="A181" s="531"/>
      <c r="B181" s="173" t="s">
        <v>559</v>
      </c>
      <c r="C181" s="32" t="s">
        <v>560</v>
      </c>
      <c r="D181" s="24">
        <v>42688</v>
      </c>
      <c r="E181" s="33" t="s">
        <v>554</v>
      </c>
      <c r="F181" s="101" t="s">
        <v>561</v>
      </c>
      <c r="G181" s="34" t="s">
        <v>529</v>
      </c>
      <c r="H181" s="93">
        <v>2550445</v>
      </c>
      <c r="I181" s="93">
        <v>0</v>
      </c>
      <c r="J181" s="93">
        <v>0</v>
      </c>
      <c r="K181" s="363">
        <f t="shared" si="16"/>
        <v>2550445</v>
      </c>
      <c r="L181" s="307">
        <f>300300+71800</f>
        <v>372100</v>
      </c>
      <c r="M181" s="363">
        <f t="shared" si="14"/>
        <v>2178345</v>
      </c>
      <c r="N181" s="373">
        <v>0</v>
      </c>
      <c r="O181" s="373">
        <v>0</v>
      </c>
      <c r="P181" s="373">
        <f t="shared" si="15"/>
        <v>2178345</v>
      </c>
    </row>
    <row r="182" spans="1:16" s="193" customFormat="1" ht="78" x14ac:dyDescent="0.3">
      <c r="A182" s="531"/>
      <c r="B182" s="173" t="s">
        <v>562</v>
      </c>
      <c r="C182" s="32" t="s">
        <v>563</v>
      </c>
      <c r="D182" s="24">
        <v>42688</v>
      </c>
      <c r="E182" s="33" t="s">
        <v>564</v>
      </c>
      <c r="F182" s="101" t="s">
        <v>561</v>
      </c>
      <c r="G182" s="533" t="s">
        <v>529</v>
      </c>
      <c r="H182" s="93">
        <v>3597900</v>
      </c>
      <c r="I182" s="93"/>
      <c r="J182" s="93">
        <v>0</v>
      </c>
      <c r="K182" s="363">
        <f t="shared" si="16"/>
        <v>3597900</v>
      </c>
      <c r="L182" s="307">
        <v>3367943</v>
      </c>
      <c r="M182" s="363">
        <f t="shared" si="14"/>
        <v>229957</v>
      </c>
      <c r="N182" s="373">
        <v>-229957</v>
      </c>
      <c r="O182" s="373">
        <v>0</v>
      </c>
      <c r="P182" s="373">
        <f t="shared" si="15"/>
        <v>0</v>
      </c>
    </row>
    <row r="183" spans="1:16" s="193" customFormat="1" ht="31.2" x14ac:dyDescent="0.3">
      <c r="A183" s="531"/>
      <c r="B183" s="173" t="s">
        <v>565</v>
      </c>
      <c r="C183" s="32" t="s">
        <v>566</v>
      </c>
      <c r="D183" s="24">
        <v>42614</v>
      </c>
      <c r="E183" s="33" t="s">
        <v>567</v>
      </c>
      <c r="F183" s="101" t="s">
        <v>561</v>
      </c>
      <c r="G183" s="534"/>
      <c r="H183" s="536">
        <v>899900</v>
      </c>
      <c r="I183" s="537"/>
      <c r="J183" s="537">
        <v>2000000</v>
      </c>
      <c r="K183" s="528">
        <f t="shared" si="16"/>
        <v>2899900</v>
      </c>
      <c r="L183" s="528">
        <v>0</v>
      </c>
      <c r="M183" s="528">
        <f t="shared" si="14"/>
        <v>2899900</v>
      </c>
      <c r="N183" s="528">
        <v>0</v>
      </c>
      <c r="O183" s="528">
        <v>0</v>
      </c>
      <c r="P183" s="528">
        <f t="shared" si="15"/>
        <v>2899900</v>
      </c>
    </row>
    <row r="184" spans="1:16" s="193" customFormat="1" ht="46.8" x14ac:dyDescent="0.3">
      <c r="A184" s="531"/>
      <c r="B184" s="173" t="s">
        <v>568</v>
      </c>
      <c r="C184" s="32" t="s">
        <v>569</v>
      </c>
      <c r="D184" s="24">
        <v>42614</v>
      </c>
      <c r="E184" s="33" t="s">
        <v>570</v>
      </c>
      <c r="F184" s="101" t="s">
        <v>561</v>
      </c>
      <c r="G184" s="534"/>
      <c r="H184" s="536"/>
      <c r="I184" s="537"/>
      <c r="J184" s="537"/>
      <c r="K184" s="529"/>
      <c r="L184" s="529"/>
      <c r="M184" s="529"/>
      <c r="N184" s="529"/>
      <c r="O184" s="529">
        <v>0</v>
      </c>
      <c r="P184" s="529">
        <f t="shared" si="15"/>
        <v>0</v>
      </c>
    </row>
    <row r="185" spans="1:16" s="193" customFormat="1" ht="31.2" x14ac:dyDescent="0.3">
      <c r="A185" s="531"/>
      <c r="B185" s="173" t="s">
        <v>571</v>
      </c>
      <c r="C185" s="32" t="s">
        <v>572</v>
      </c>
      <c r="D185" s="24">
        <v>42583</v>
      </c>
      <c r="E185" s="33" t="s">
        <v>573</v>
      </c>
      <c r="F185" s="101" t="s">
        <v>561</v>
      </c>
      <c r="G185" s="534"/>
      <c r="H185" s="536"/>
      <c r="I185" s="537"/>
      <c r="J185" s="537"/>
      <c r="K185" s="529"/>
      <c r="L185" s="529"/>
      <c r="M185" s="529"/>
      <c r="N185" s="529"/>
      <c r="O185" s="529">
        <v>0</v>
      </c>
      <c r="P185" s="529">
        <f t="shared" si="15"/>
        <v>0</v>
      </c>
    </row>
    <row r="186" spans="1:16" s="193" customFormat="1" ht="31.2" x14ac:dyDescent="0.3">
      <c r="A186" s="531"/>
      <c r="B186" s="173" t="s">
        <v>574</v>
      </c>
      <c r="C186" s="32" t="s">
        <v>575</v>
      </c>
      <c r="D186" s="24">
        <v>42583</v>
      </c>
      <c r="E186" s="33" t="s">
        <v>576</v>
      </c>
      <c r="F186" s="101" t="s">
        <v>561</v>
      </c>
      <c r="G186" s="534"/>
      <c r="H186" s="536"/>
      <c r="I186" s="537"/>
      <c r="J186" s="537"/>
      <c r="K186" s="529"/>
      <c r="L186" s="529"/>
      <c r="M186" s="529"/>
      <c r="N186" s="529"/>
      <c r="O186" s="529">
        <v>0</v>
      </c>
      <c r="P186" s="529">
        <f t="shared" si="15"/>
        <v>0</v>
      </c>
    </row>
    <row r="187" spans="1:16" s="193" customFormat="1" ht="31.2" x14ac:dyDescent="0.3">
      <c r="A187" s="531"/>
      <c r="B187" s="173" t="s">
        <v>577</v>
      </c>
      <c r="C187" s="32" t="s">
        <v>578</v>
      </c>
      <c r="D187" s="24">
        <v>42583</v>
      </c>
      <c r="E187" s="33" t="s">
        <v>579</v>
      </c>
      <c r="F187" s="101" t="s">
        <v>561</v>
      </c>
      <c r="G187" s="534"/>
      <c r="H187" s="536"/>
      <c r="I187" s="537"/>
      <c r="J187" s="537"/>
      <c r="K187" s="530"/>
      <c r="L187" s="530"/>
      <c r="M187" s="530"/>
      <c r="N187" s="530"/>
      <c r="O187" s="530">
        <v>0</v>
      </c>
      <c r="P187" s="530">
        <f t="shared" si="15"/>
        <v>0</v>
      </c>
    </row>
    <row r="188" spans="1:16" s="193" customFormat="1" ht="31.2" x14ac:dyDescent="0.3">
      <c r="A188" s="531"/>
      <c r="B188" s="173" t="s">
        <v>580</v>
      </c>
      <c r="C188" s="32" t="s">
        <v>581</v>
      </c>
      <c r="D188" s="24">
        <v>42614</v>
      </c>
      <c r="E188" s="33" t="s">
        <v>582</v>
      </c>
      <c r="F188" s="101" t="s">
        <v>561</v>
      </c>
      <c r="G188" s="534"/>
      <c r="H188" s="93">
        <v>0</v>
      </c>
      <c r="I188" s="347"/>
      <c r="J188" s="174">
        <f>2000000-500000</f>
        <v>1500000</v>
      </c>
      <c r="K188" s="363">
        <f t="shared" ref="K188:K196" si="17">SUM(H188:J188)</f>
        <v>1500000</v>
      </c>
      <c r="L188" s="372">
        <v>0</v>
      </c>
      <c r="M188" s="363">
        <f t="shared" si="14"/>
        <v>1500000</v>
      </c>
      <c r="N188" s="373">
        <v>-322418</v>
      </c>
      <c r="O188" s="373">
        <v>0</v>
      </c>
      <c r="P188" s="373">
        <f t="shared" si="15"/>
        <v>1177582</v>
      </c>
    </row>
    <row r="189" spans="1:16" s="193" customFormat="1" ht="31.2" x14ac:dyDescent="0.3">
      <c r="A189" s="531"/>
      <c r="B189" s="173" t="s">
        <v>583</v>
      </c>
      <c r="C189" s="32" t="s">
        <v>584</v>
      </c>
      <c r="D189" s="24">
        <v>42644</v>
      </c>
      <c r="E189" s="33" t="s">
        <v>582</v>
      </c>
      <c r="F189" s="101" t="s">
        <v>561</v>
      </c>
      <c r="G189" s="535"/>
      <c r="H189" s="93">
        <v>0</v>
      </c>
      <c r="I189" s="347"/>
      <c r="J189" s="174">
        <f>3000000-1000000</f>
        <v>2000000</v>
      </c>
      <c r="K189" s="363">
        <f t="shared" si="17"/>
        <v>2000000</v>
      </c>
      <c r="L189" s="307">
        <v>0</v>
      </c>
      <c r="M189" s="363">
        <f t="shared" si="14"/>
        <v>2000000</v>
      </c>
      <c r="N189" s="373">
        <v>-500000</v>
      </c>
      <c r="O189" s="373">
        <v>0</v>
      </c>
      <c r="P189" s="373">
        <f t="shared" si="15"/>
        <v>1500000</v>
      </c>
    </row>
    <row r="190" spans="1:16" s="193" customFormat="1" ht="31.2" x14ac:dyDescent="0.3">
      <c r="A190" s="531"/>
      <c r="B190" s="173" t="s">
        <v>585</v>
      </c>
      <c r="C190" s="32" t="s">
        <v>586</v>
      </c>
      <c r="D190" s="24">
        <v>42705</v>
      </c>
      <c r="E190" s="33" t="s">
        <v>358</v>
      </c>
      <c r="F190" s="101"/>
      <c r="G190" s="34"/>
      <c r="H190" s="93">
        <v>0</v>
      </c>
      <c r="I190" s="93">
        <v>14000000</v>
      </c>
      <c r="J190" s="93">
        <v>-8000000</v>
      </c>
      <c r="K190" s="363">
        <f t="shared" si="17"/>
        <v>6000000</v>
      </c>
      <c r="L190" s="307">
        <v>3025000</v>
      </c>
      <c r="M190" s="363">
        <f t="shared" si="14"/>
        <v>2975000</v>
      </c>
      <c r="N190" s="373">
        <v>-1000000</v>
      </c>
      <c r="O190" s="373">
        <v>0</v>
      </c>
      <c r="P190" s="373">
        <f t="shared" si="15"/>
        <v>1975000</v>
      </c>
    </row>
    <row r="191" spans="1:16" s="193" customFormat="1" ht="35.4" thickBot="1" x14ac:dyDescent="0.35">
      <c r="A191" s="532"/>
      <c r="B191" s="173" t="s">
        <v>587</v>
      </c>
      <c r="C191" s="18" t="s">
        <v>588</v>
      </c>
      <c r="D191" s="24">
        <v>42583</v>
      </c>
      <c r="E191" s="33" t="s">
        <v>589</v>
      </c>
      <c r="F191" s="101" t="s">
        <v>528</v>
      </c>
      <c r="G191" s="34" t="s">
        <v>529</v>
      </c>
      <c r="H191" s="93">
        <v>600000</v>
      </c>
      <c r="I191" s="93">
        <v>0</v>
      </c>
      <c r="J191" s="93">
        <v>-600000</v>
      </c>
      <c r="K191" s="374">
        <f t="shared" si="17"/>
        <v>0</v>
      </c>
      <c r="L191" s="307">
        <v>0</v>
      </c>
      <c r="M191" s="363">
        <f t="shared" si="14"/>
        <v>0</v>
      </c>
      <c r="N191" s="373">
        <v>0</v>
      </c>
      <c r="O191" s="373">
        <v>0</v>
      </c>
      <c r="P191" s="373">
        <f t="shared" si="15"/>
        <v>0</v>
      </c>
    </row>
    <row r="192" spans="1:16" s="193" customFormat="1" ht="21" thickBot="1" x14ac:dyDescent="0.35">
      <c r="A192" s="175"/>
      <c r="B192" s="173" t="s">
        <v>590</v>
      </c>
      <c r="C192" s="18" t="s">
        <v>591</v>
      </c>
      <c r="D192" s="24"/>
      <c r="E192" s="33"/>
      <c r="F192" s="101"/>
      <c r="G192" s="34"/>
      <c r="H192" s="93"/>
      <c r="I192" s="93"/>
      <c r="J192" s="93"/>
      <c r="K192" s="374"/>
      <c r="L192" s="307"/>
      <c r="M192" s="363"/>
      <c r="N192" s="373">
        <f>1735055+620400+1698000+2000000+1506000+229957+322418+500000+1000000</f>
        <v>9611830</v>
      </c>
      <c r="O192" s="373"/>
      <c r="P192" s="373"/>
    </row>
    <row r="193" spans="1:16" s="193" customFormat="1" ht="31.8" thickBot="1" x14ac:dyDescent="0.35">
      <c r="A193" s="545" t="s">
        <v>592</v>
      </c>
      <c r="B193" s="274" t="s">
        <v>593</v>
      </c>
      <c r="C193" s="275" t="s">
        <v>594</v>
      </c>
      <c r="D193" s="74">
        <v>42552</v>
      </c>
      <c r="E193" s="276" t="s">
        <v>595</v>
      </c>
      <c r="F193" s="73" t="s">
        <v>596</v>
      </c>
      <c r="G193" s="277" t="s">
        <v>558</v>
      </c>
      <c r="H193" s="141">
        <v>1500000</v>
      </c>
      <c r="I193" s="141">
        <v>0</v>
      </c>
      <c r="J193" s="141">
        <v>-500000</v>
      </c>
      <c r="K193" s="375">
        <f t="shared" si="17"/>
        <v>1000000</v>
      </c>
      <c r="L193" s="307">
        <v>991300</v>
      </c>
      <c r="M193" s="363">
        <f t="shared" si="14"/>
        <v>8700</v>
      </c>
      <c r="N193" s="373">
        <v>0</v>
      </c>
      <c r="O193" s="373">
        <v>0</v>
      </c>
      <c r="P193" s="373">
        <f t="shared" si="15"/>
        <v>8700</v>
      </c>
    </row>
    <row r="194" spans="1:16" s="193" customFormat="1" ht="78.599999999999994" thickBot="1" x14ac:dyDescent="0.35">
      <c r="A194" s="532"/>
      <c r="B194" s="284" t="s">
        <v>597</v>
      </c>
      <c r="C194" s="32" t="s">
        <v>598</v>
      </c>
      <c r="D194" s="285">
        <v>42644</v>
      </c>
      <c r="E194" s="286" t="s">
        <v>599</v>
      </c>
      <c r="F194" s="287" t="s">
        <v>600</v>
      </c>
      <c r="G194" s="284" t="s">
        <v>601</v>
      </c>
      <c r="H194" s="288">
        <v>-575896</v>
      </c>
      <c r="I194" s="288"/>
      <c r="J194" s="288">
        <v>575896</v>
      </c>
      <c r="K194" s="363">
        <f t="shared" si="17"/>
        <v>0</v>
      </c>
      <c r="L194" s="307">
        <v>0</v>
      </c>
      <c r="M194" s="363">
        <f t="shared" si="14"/>
        <v>0</v>
      </c>
      <c r="N194" s="373">
        <v>0</v>
      </c>
      <c r="O194" s="373">
        <v>0</v>
      </c>
      <c r="P194" s="373">
        <f t="shared" si="15"/>
        <v>0</v>
      </c>
    </row>
    <row r="195" spans="1:16" s="193" customFormat="1" ht="62.4" x14ac:dyDescent="0.3">
      <c r="A195" s="546" t="s">
        <v>602</v>
      </c>
      <c r="B195" s="161" t="s">
        <v>603</v>
      </c>
      <c r="C195" s="278" t="s">
        <v>604</v>
      </c>
      <c r="D195" s="279" t="s">
        <v>605</v>
      </c>
      <c r="E195" s="280" t="s">
        <v>606</v>
      </c>
      <c r="F195" s="281" t="s">
        <v>607</v>
      </c>
      <c r="G195" s="282" t="s">
        <v>608</v>
      </c>
      <c r="H195" s="283">
        <v>12036327</v>
      </c>
      <c r="I195" s="283"/>
      <c r="J195" s="283">
        <v>-24600</v>
      </c>
      <c r="K195" s="376">
        <f t="shared" si="17"/>
        <v>12011727</v>
      </c>
      <c r="L195" s="307">
        <f>20890700-3025000-5853973</f>
        <v>12011727</v>
      </c>
      <c r="M195" s="363">
        <f t="shared" si="14"/>
        <v>0</v>
      </c>
      <c r="N195" s="373">
        <v>0</v>
      </c>
      <c r="O195" s="373">
        <v>5000000</v>
      </c>
      <c r="P195" s="373">
        <f t="shared" si="15"/>
        <v>5000000</v>
      </c>
    </row>
    <row r="196" spans="1:16" s="193" customFormat="1" ht="62.4" x14ac:dyDescent="0.3">
      <c r="A196" s="547"/>
      <c r="B196" s="162" t="s">
        <v>609</v>
      </c>
      <c r="C196" s="32" t="s">
        <v>610</v>
      </c>
      <c r="D196" s="24"/>
      <c r="E196" s="33" t="s">
        <v>358</v>
      </c>
      <c r="F196" s="101" t="s">
        <v>607</v>
      </c>
      <c r="G196" s="34" t="s">
        <v>608</v>
      </c>
      <c r="H196" s="93">
        <v>0</v>
      </c>
      <c r="I196" s="93">
        <v>2000000</v>
      </c>
      <c r="J196" s="93">
        <v>-2000000</v>
      </c>
      <c r="K196" s="363">
        <f t="shared" si="17"/>
        <v>0</v>
      </c>
      <c r="L196" s="307">
        <v>0</v>
      </c>
      <c r="M196" s="363">
        <f t="shared" si="14"/>
        <v>0</v>
      </c>
      <c r="N196" s="373">
        <v>0</v>
      </c>
      <c r="O196" s="373">
        <v>3500000</v>
      </c>
      <c r="P196" s="373">
        <f t="shared" si="15"/>
        <v>3500000</v>
      </c>
    </row>
    <row r="197" spans="1:16" s="193" customFormat="1" ht="46.8" x14ac:dyDescent="0.3">
      <c r="A197" s="548"/>
      <c r="B197" s="176" t="s">
        <v>611</v>
      </c>
      <c r="C197" s="177" t="s">
        <v>612</v>
      </c>
      <c r="D197" s="178"/>
      <c r="E197" s="179" t="s">
        <v>358</v>
      </c>
      <c r="F197" s="180" t="s">
        <v>607</v>
      </c>
      <c r="G197" s="181" t="s">
        <v>608</v>
      </c>
      <c r="H197" s="182">
        <v>0</v>
      </c>
      <c r="I197" s="183">
        <v>2000000</v>
      </c>
      <c r="J197" s="184">
        <v>-2000000</v>
      </c>
      <c r="K197" s="377">
        <f>SUM(H197:J197)</f>
        <v>0</v>
      </c>
      <c r="L197" s="307">
        <v>0</v>
      </c>
      <c r="M197" s="363">
        <f t="shared" si="14"/>
        <v>0</v>
      </c>
      <c r="N197" s="377">
        <v>0</v>
      </c>
      <c r="O197" s="373">
        <v>0</v>
      </c>
      <c r="P197" s="373">
        <f t="shared" si="15"/>
        <v>0</v>
      </c>
    </row>
    <row r="198" spans="1:16" s="193" customFormat="1" ht="31.8" thickBot="1" x14ac:dyDescent="0.35">
      <c r="A198" s="549"/>
      <c r="B198" s="162" t="s">
        <v>613</v>
      </c>
      <c r="C198" s="32" t="s">
        <v>614</v>
      </c>
      <c r="D198" s="24"/>
      <c r="E198" s="33"/>
      <c r="F198" s="101"/>
      <c r="G198" s="34" t="s">
        <v>242</v>
      </c>
      <c r="H198" s="93"/>
      <c r="I198" s="93"/>
      <c r="J198" s="93"/>
      <c r="K198" s="363">
        <f>SUM(H198:J198)</f>
        <v>0</v>
      </c>
      <c r="L198" s="307">
        <v>0</v>
      </c>
      <c r="M198" s="363">
        <f t="shared" si="14"/>
        <v>0</v>
      </c>
      <c r="N198" s="373"/>
      <c r="O198" s="373">
        <v>1500000</v>
      </c>
      <c r="P198" s="373">
        <f t="shared" si="15"/>
        <v>1500000</v>
      </c>
    </row>
    <row r="199" spans="1:16" s="193" customFormat="1" ht="93.6" x14ac:dyDescent="0.3">
      <c r="A199" s="513" t="s">
        <v>615</v>
      </c>
      <c r="B199" s="550" t="s">
        <v>616</v>
      </c>
      <c r="C199" s="32" t="s">
        <v>1147</v>
      </c>
      <c r="D199" s="24">
        <v>42705</v>
      </c>
      <c r="E199" s="33" t="s">
        <v>606</v>
      </c>
      <c r="F199" s="101" t="s">
        <v>607</v>
      </c>
      <c r="G199" s="34" t="s">
        <v>608</v>
      </c>
      <c r="H199" s="93">
        <v>-995800</v>
      </c>
      <c r="I199" s="93">
        <v>0</v>
      </c>
      <c r="J199" s="93">
        <f>7105000+995800</f>
        <v>8100800</v>
      </c>
      <c r="K199" s="363">
        <f t="shared" ref="K199:K204" si="18">SUM(H199:J199)</f>
        <v>7105000</v>
      </c>
      <c r="L199" s="307">
        <f>8357600-1252600</f>
        <v>7105000</v>
      </c>
      <c r="M199" s="363">
        <f t="shared" si="14"/>
        <v>0</v>
      </c>
      <c r="N199" s="373">
        <v>0</v>
      </c>
      <c r="O199" s="373">
        <v>14000000</v>
      </c>
      <c r="P199" s="373">
        <f t="shared" si="15"/>
        <v>14000000</v>
      </c>
    </row>
    <row r="200" spans="1:16" s="193" customFormat="1" ht="62.4" x14ac:dyDescent="0.3">
      <c r="A200" s="514"/>
      <c r="B200" s="550"/>
      <c r="C200" s="32" t="s">
        <v>617</v>
      </c>
      <c r="D200" s="24">
        <v>42398</v>
      </c>
      <c r="E200" s="33" t="s">
        <v>606</v>
      </c>
      <c r="F200" s="350" t="s">
        <v>618</v>
      </c>
      <c r="G200" s="34" t="s">
        <v>619</v>
      </c>
      <c r="H200" s="93">
        <v>0</v>
      </c>
      <c r="I200" s="93"/>
      <c r="J200" s="93">
        <v>1500000</v>
      </c>
      <c r="K200" s="363">
        <f t="shared" si="18"/>
        <v>1500000</v>
      </c>
      <c r="L200" s="307">
        <f>1252600+180000</f>
        <v>1432600</v>
      </c>
      <c r="M200" s="363">
        <f t="shared" si="14"/>
        <v>67400</v>
      </c>
      <c r="N200" s="373">
        <v>-67400</v>
      </c>
      <c r="O200" s="373">
        <v>0</v>
      </c>
      <c r="P200" s="373">
        <f t="shared" si="15"/>
        <v>0</v>
      </c>
    </row>
    <row r="201" spans="1:16" s="193" customFormat="1" ht="93.6" x14ac:dyDescent="0.3">
      <c r="A201" s="514"/>
      <c r="B201" s="162" t="s">
        <v>620</v>
      </c>
      <c r="C201" s="32" t="s">
        <v>621</v>
      </c>
      <c r="D201" s="24">
        <v>42627</v>
      </c>
      <c r="E201" s="33" t="s">
        <v>622</v>
      </c>
      <c r="F201" s="101" t="s">
        <v>623</v>
      </c>
      <c r="G201" s="34" t="s">
        <v>619</v>
      </c>
      <c r="H201" s="93">
        <v>2135080</v>
      </c>
      <c r="I201" s="93"/>
      <c r="J201" s="93">
        <f>4000080-H201</f>
        <v>1865000</v>
      </c>
      <c r="K201" s="363">
        <f t="shared" si="18"/>
        <v>4000080</v>
      </c>
      <c r="L201" s="307">
        <v>3176292</v>
      </c>
      <c r="M201" s="363">
        <f t="shared" si="14"/>
        <v>823788</v>
      </c>
      <c r="N201" s="373">
        <v>-823788</v>
      </c>
      <c r="O201" s="373">
        <v>3000000</v>
      </c>
      <c r="P201" s="373">
        <f t="shared" si="15"/>
        <v>3000000</v>
      </c>
    </row>
    <row r="202" spans="1:16" s="193" customFormat="1" ht="46.8" x14ac:dyDescent="0.3">
      <c r="A202" s="514"/>
      <c r="B202" s="162" t="s">
        <v>624</v>
      </c>
      <c r="C202" s="32" t="s">
        <v>625</v>
      </c>
      <c r="D202" s="24">
        <v>42719</v>
      </c>
      <c r="E202" s="33" t="s">
        <v>626</v>
      </c>
      <c r="F202" s="101" t="s">
        <v>627</v>
      </c>
      <c r="G202" s="34" t="s">
        <v>619</v>
      </c>
      <c r="H202" s="93">
        <v>432000</v>
      </c>
      <c r="I202" s="93">
        <v>0</v>
      </c>
      <c r="J202" s="93">
        <v>0</v>
      </c>
      <c r="K202" s="363">
        <f t="shared" si="18"/>
        <v>432000</v>
      </c>
      <c r="L202" s="307">
        <f>140000+120000</f>
        <v>260000</v>
      </c>
      <c r="M202" s="363">
        <f t="shared" si="14"/>
        <v>172000</v>
      </c>
      <c r="N202" s="373">
        <v>-58712</v>
      </c>
      <c r="O202" s="373">
        <v>500000</v>
      </c>
      <c r="P202" s="373">
        <f t="shared" si="15"/>
        <v>613288</v>
      </c>
    </row>
    <row r="203" spans="1:16" s="193" customFormat="1" ht="31.2" x14ac:dyDescent="0.3">
      <c r="A203" s="514"/>
      <c r="B203" s="162" t="s">
        <v>628</v>
      </c>
      <c r="C203" s="18" t="s">
        <v>629</v>
      </c>
      <c r="D203" s="24">
        <v>42535</v>
      </c>
      <c r="E203" s="33" t="s">
        <v>630</v>
      </c>
      <c r="F203" s="101" t="s">
        <v>627</v>
      </c>
      <c r="G203" s="29" t="s">
        <v>619</v>
      </c>
      <c r="H203" s="93">
        <v>120000</v>
      </c>
      <c r="I203" s="93">
        <v>0</v>
      </c>
      <c r="J203" s="93">
        <v>0</v>
      </c>
      <c r="K203" s="363">
        <f t="shared" si="18"/>
        <v>120000</v>
      </c>
      <c r="L203" s="307">
        <v>120000</v>
      </c>
      <c r="M203" s="363">
        <f t="shared" si="14"/>
        <v>0</v>
      </c>
      <c r="N203" s="373">
        <v>0</v>
      </c>
      <c r="O203" s="373">
        <v>200000</v>
      </c>
      <c r="P203" s="373">
        <f t="shared" si="15"/>
        <v>200000</v>
      </c>
    </row>
    <row r="204" spans="1:16" s="193" customFormat="1" ht="62.4" x14ac:dyDescent="0.3">
      <c r="A204" s="514"/>
      <c r="B204" s="162" t="s">
        <v>631</v>
      </c>
      <c r="C204" s="32" t="s">
        <v>632</v>
      </c>
      <c r="D204" s="24">
        <v>42627</v>
      </c>
      <c r="E204" s="33" t="s">
        <v>606</v>
      </c>
      <c r="F204" s="101" t="s">
        <v>633</v>
      </c>
      <c r="G204" s="34" t="s">
        <v>634</v>
      </c>
      <c r="H204" s="93">
        <v>11930000</v>
      </c>
      <c r="I204" s="93"/>
      <c r="J204" s="93">
        <v>0</v>
      </c>
      <c r="K204" s="363">
        <f t="shared" si="18"/>
        <v>11930000</v>
      </c>
      <c r="L204" s="307">
        <v>50000</v>
      </c>
      <c r="M204" s="363">
        <f t="shared" si="14"/>
        <v>11880000</v>
      </c>
      <c r="N204" s="373">
        <v>-180000</v>
      </c>
      <c r="O204" s="373">
        <v>300000</v>
      </c>
      <c r="P204" s="373">
        <f t="shared" si="15"/>
        <v>12000000</v>
      </c>
    </row>
    <row r="205" spans="1:16" s="193" customFormat="1" ht="62.4" x14ac:dyDescent="0.3">
      <c r="A205" s="514"/>
      <c r="B205" s="162" t="s">
        <v>635</v>
      </c>
      <c r="C205" s="32" t="s">
        <v>636</v>
      </c>
      <c r="D205" s="24">
        <v>42644</v>
      </c>
      <c r="E205" s="33" t="s">
        <v>637</v>
      </c>
      <c r="F205" s="101" t="s">
        <v>638</v>
      </c>
      <c r="G205" s="34" t="s">
        <v>639</v>
      </c>
      <c r="H205" s="93">
        <v>1000000</v>
      </c>
      <c r="I205" s="93"/>
      <c r="J205" s="93">
        <v>-1000000</v>
      </c>
      <c r="K205" s="363">
        <f t="shared" ref="K205:K214" si="19">SUM(H205:J205)</f>
        <v>0</v>
      </c>
      <c r="L205" s="307">
        <v>0</v>
      </c>
      <c r="M205" s="363">
        <f t="shared" si="14"/>
        <v>0</v>
      </c>
      <c r="N205" s="373">
        <v>0</v>
      </c>
      <c r="O205" s="373">
        <v>0</v>
      </c>
      <c r="P205" s="373">
        <f t="shared" si="15"/>
        <v>0</v>
      </c>
    </row>
    <row r="206" spans="1:16" s="193" customFormat="1" ht="62.4" x14ac:dyDescent="0.3">
      <c r="A206" s="514"/>
      <c r="B206" s="162" t="s">
        <v>640</v>
      </c>
      <c r="C206" s="32" t="s">
        <v>641</v>
      </c>
      <c r="D206" s="24">
        <v>42675</v>
      </c>
      <c r="E206" s="33" t="s">
        <v>642</v>
      </c>
      <c r="F206" s="185" t="s">
        <v>639</v>
      </c>
      <c r="G206" s="34" t="s">
        <v>643</v>
      </c>
      <c r="H206" s="93">
        <v>4143200</v>
      </c>
      <c r="I206" s="93">
        <v>0</v>
      </c>
      <c r="J206" s="93">
        <v>0</v>
      </c>
      <c r="K206" s="363">
        <f t="shared" si="19"/>
        <v>4143200</v>
      </c>
      <c r="L206" s="307">
        <f>5017216-874016</f>
        <v>4143200</v>
      </c>
      <c r="M206" s="363">
        <f t="shared" si="14"/>
        <v>0</v>
      </c>
      <c r="N206" s="373">
        <v>0</v>
      </c>
      <c r="O206" s="373">
        <v>0</v>
      </c>
      <c r="P206" s="373">
        <f t="shared" si="15"/>
        <v>0</v>
      </c>
    </row>
    <row r="207" spans="1:16" s="193" customFormat="1" ht="46.8" x14ac:dyDescent="0.3">
      <c r="A207" s="514"/>
      <c r="B207" s="162" t="s">
        <v>644</v>
      </c>
      <c r="C207" s="32" t="s">
        <v>645</v>
      </c>
      <c r="D207" s="24">
        <v>42614</v>
      </c>
      <c r="E207" s="33" t="s">
        <v>646</v>
      </c>
      <c r="F207" s="185" t="s">
        <v>639</v>
      </c>
      <c r="G207" s="34" t="s">
        <v>647</v>
      </c>
      <c r="H207" s="93">
        <v>2003000</v>
      </c>
      <c r="I207" s="93"/>
      <c r="J207" s="93">
        <v>0</v>
      </c>
      <c r="K207" s="363">
        <f t="shared" si="19"/>
        <v>2003000</v>
      </c>
      <c r="L207" s="307">
        <v>2003000</v>
      </c>
      <c r="M207" s="363">
        <f t="shared" si="14"/>
        <v>0</v>
      </c>
      <c r="N207" s="373">
        <v>0</v>
      </c>
      <c r="O207" s="373">
        <v>0</v>
      </c>
      <c r="P207" s="373">
        <f t="shared" si="15"/>
        <v>0</v>
      </c>
    </row>
    <row r="208" spans="1:16" s="193" customFormat="1" ht="36" x14ac:dyDescent="0.3">
      <c r="A208" s="514"/>
      <c r="B208" s="162" t="s">
        <v>648</v>
      </c>
      <c r="C208" s="32" t="s">
        <v>649</v>
      </c>
      <c r="D208" s="24">
        <v>42552</v>
      </c>
      <c r="E208" s="33" t="s">
        <v>650</v>
      </c>
      <c r="F208" s="185" t="s">
        <v>639</v>
      </c>
      <c r="G208" s="34" t="s">
        <v>608</v>
      </c>
      <c r="H208" s="93">
        <v>2500000</v>
      </c>
      <c r="I208" s="93">
        <v>0</v>
      </c>
      <c r="J208" s="93">
        <f>3000000-500000</f>
        <v>2500000</v>
      </c>
      <c r="K208" s="363">
        <f t="shared" si="19"/>
        <v>5000000</v>
      </c>
      <c r="L208" s="307">
        <f>2520200+874016</f>
        <v>3394216</v>
      </c>
      <c r="M208" s="363">
        <f t="shared" si="14"/>
        <v>1605784</v>
      </c>
      <c r="N208" s="373">
        <v>0</v>
      </c>
      <c r="O208" s="373">
        <v>2000000</v>
      </c>
      <c r="P208" s="373">
        <f t="shared" si="15"/>
        <v>3605784</v>
      </c>
    </row>
    <row r="209" spans="1:34" s="193" customFormat="1" ht="140.4" x14ac:dyDescent="0.3">
      <c r="A209" s="514"/>
      <c r="B209" s="162" t="s">
        <v>651</v>
      </c>
      <c r="C209" s="186" t="s">
        <v>652</v>
      </c>
      <c r="D209" s="527" t="s">
        <v>653</v>
      </c>
      <c r="E209" s="33" t="s">
        <v>654</v>
      </c>
      <c r="F209" s="101"/>
      <c r="G209" s="34"/>
      <c r="H209" s="93">
        <v>4000</v>
      </c>
      <c r="I209" s="93"/>
      <c r="J209" s="93">
        <v>-4000</v>
      </c>
      <c r="K209" s="363">
        <f t="shared" si="19"/>
        <v>0</v>
      </c>
      <c r="L209" s="307">
        <v>0</v>
      </c>
      <c r="M209" s="363">
        <f t="shared" si="14"/>
        <v>0</v>
      </c>
      <c r="N209" s="373">
        <v>0</v>
      </c>
      <c r="O209" s="373">
        <v>0</v>
      </c>
      <c r="P209" s="373">
        <f t="shared" si="15"/>
        <v>0</v>
      </c>
    </row>
    <row r="210" spans="1:34" s="193" customFormat="1" ht="31.2" x14ac:dyDescent="0.3">
      <c r="A210" s="514"/>
      <c r="B210" s="162" t="s">
        <v>655</v>
      </c>
      <c r="C210" s="32" t="s">
        <v>656</v>
      </c>
      <c r="D210" s="551"/>
      <c r="E210" s="33" t="s">
        <v>654</v>
      </c>
      <c r="F210" s="101"/>
      <c r="G210" s="34"/>
      <c r="H210" s="93">
        <v>-1000000</v>
      </c>
      <c r="I210" s="93"/>
      <c r="J210" s="93">
        <v>1000000</v>
      </c>
      <c r="K210" s="363">
        <f t="shared" si="19"/>
        <v>0</v>
      </c>
      <c r="L210" s="307">
        <v>0</v>
      </c>
      <c r="M210" s="363">
        <f t="shared" si="14"/>
        <v>0</v>
      </c>
      <c r="N210" s="373">
        <v>0</v>
      </c>
      <c r="O210" s="373">
        <v>0</v>
      </c>
      <c r="P210" s="373">
        <f t="shared" si="15"/>
        <v>0</v>
      </c>
    </row>
    <row r="211" spans="1:34" s="193" customFormat="1" ht="31.2" x14ac:dyDescent="0.3">
      <c r="A211" s="514"/>
      <c r="B211" s="162" t="s">
        <v>657</v>
      </c>
      <c r="C211" s="186" t="s">
        <v>658</v>
      </c>
      <c r="D211" s="551"/>
      <c r="E211" s="33" t="s">
        <v>659</v>
      </c>
      <c r="F211" s="185"/>
      <c r="G211" s="34"/>
      <c r="H211" s="93">
        <v>0</v>
      </c>
      <c r="I211" s="93"/>
      <c r="J211" s="93">
        <v>0</v>
      </c>
      <c r="K211" s="363">
        <f t="shared" si="19"/>
        <v>0</v>
      </c>
      <c r="L211" s="307">
        <v>0</v>
      </c>
      <c r="M211" s="363">
        <f t="shared" si="14"/>
        <v>0</v>
      </c>
      <c r="N211" s="373">
        <v>0</v>
      </c>
      <c r="O211" s="373">
        <v>0</v>
      </c>
      <c r="P211" s="373">
        <f t="shared" si="15"/>
        <v>0</v>
      </c>
    </row>
    <row r="212" spans="1:34" s="193" customFormat="1" ht="20.399999999999999" x14ac:dyDescent="0.3">
      <c r="A212" s="514"/>
      <c r="B212" s="162" t="s">
        <v>660</v>
      </c>
      <c r="C212" s="186" t="s">
        <v>661</v>
      </c>
      <c r="D212" s="551"/>
      <c r="E212" s="33" t="s">
        <v>662</v>
      </c>
      <c r="F212" s="185"/>
      <c r="G212" s="34"/>
      <c r="H212" s="93">
        <v>0</v>
      </c>
      <c r="I212" s="93"/>
      <c r="J212" s="93">
        <v>0</v>
      </c>
      <c r="K212" s="363">
        <f t="shared" si="19"/>
        <v>0</v>
      </c>
      <c r="L212" s="307">
        <v>0</v>
      </c>
      <c r="M212" s="363">
        <f t="shared" si="14"/>
        <v>0</v>
      </c>
      <c r="N212" s="373">
        <v>0</v>
      </c>
      <c r="O212" s="373">
        <v>0</v>
      </c>
      <c r="P212" s="373">
        <f t="shared" si="15"/>
        <v>0</v>
      </c>
    </row>
    <row r="213" spans="1:34" s="193" customFormat="1" ht="109.2" x14ac:dyDescent="0.3">
      <c r="A213" s="514"/>
      <c r="B213" s="162" t="s">
        <v>663</v>
      </c>
      <c r="C213" s="32" t="s">
        <v>664</v>
      </c>
      <c r="D213" s="551"/>
      <c r="E213" s="33" t="s">
        <v>358</v>
      </c>
      <c r="F213" s="185"/>
      <c r="G213" s="34"/>
      <c r="H213" s="93">
        <v>0</v>
      </c>
      <c r="I213" s="93">
        <v>15000000</v>
      </c>
      <c r="J213" s="93">
        <v>-15000000</v>
      </c>
      <c r="K213" s="363">
        <v>0</v>
      </c>
      <c r="L213" s="307">
        <v>0</v>
      </c>
      <c r="M213" s="363">
        <f t="shared" si="14"/>
        <v>0</v>
      </c>
      <c r="N213" s="373">
        <v>0</v>
      </c>
      <c r="O213" s="373">
        <v>0</v>
      </c>
      <c r="P213" s="373">
        <f t="shared" si="15"/>
        <v>0</v>
      </c>
    </row>
    <row r="214" spans="1:34" s="193" customFormat="1" ht="21" thickBot="1" x14ac:dyDescent="0.4">
      <c r="A214" s="515"/>
      <c r="B214" s="162" t="s">
        <v>665</v>
      </c>
      <c r="C214" s="32" t="s">
        <v>666</v>
      </c>
      <c r="D214" s="552"/>
      <c r="E214" s="33"/>
      <c r="F214" s="185"/>
      <c r="G214" s="34"/>
      <c r="H214" s="93"/>
      <c r="I214" s="93"/>
      <c r="J214" s="93"/>
      <c r="K214" s="363">
        <f t="shared" si="19"/>
        <v>0</v>
      </c>
      <c r="L214" s="307">
        <v>0</v>
      </c>
      <c r="M214" s="363">
        <f t="shared" si="14"/>
        <v>0</v>
      </c>
      <c r="N214" s="373">
        <f>823788+58712</f>
        <v>882500</v>
      </c>
      <c r="O214" s="373">
        <v>0</v>
      </c>
      <c r="P214" s="373">
        <f t="shared" si="15"/>
        <v>882500</v>
      </c>
      <c r="Q214" s="210"/>
    </row>
    <row r="215" spans="1:34" s="193" customFormat="1" ht="30" x14ac:dyDescent="0.5">
      <c r="A215" s="553" t="s">
        <v>667</v>
      </c>
      <c r="B215" s="554"/>
      <c r="C215" s="554"/>
      <c r="D215" s="554"/>
      <c r="E215" s="554"/>
      <c r="F215" s="554"/>
      <c r="G215" s="555"/>
      <c r="H215" s="187">
        <f t="shared" ref="H215:O215" si="20">SUM(H151:H214)</f>
        <v>152195289</v>
      </c>
      <c r="I215" s="187">
        <f t="shared" si="20"/>
        <v>48000000</v>
      </c>
      <c r="J215" s="187">
        <f t="shared" si="20"/>
        <v>0</v>
      </c>
      <c r="K215" s="378">
        <f t="shared" si="20"/>
        <v>200195289</v>
      </c>
      <c r="L215" s="367">
        <f t="shared" si="20"/>
        <v>87099909</v>
      </c>
      <c r="M215" s="379">
        <f t="shared" si="14"/>
        <v>113095380</v>
      </c>
      <c r="N215" s="379">
        <f t="shared" si="20"/>
        <v>0</v>
      </c>
      <c r="O215" s="379">
        <f t="shared" si="20"/>
        <v>50000000</v>
      </c>
      <c r="P215" s="379">
        <f t="shared" si="15"/>
        <v>163095380</v>
      </c>
      <c r="Q215" s="211"/>
    </row>
    <row r="216" spans="1:34" s="214" customFormat="1" ht="30" x14ac:dyDescent="0.5">
      <c r="A216" s="247"/>
      <c r="B216" s="248"/>
      <c r="C216" s="459"/>
      <c r="D216" s="249"/>
      <c r="E216" s="250"/>
      <c r="F216" s="250"/>
      <c r="G216" s="250"/>
      <c r="H216" s="251"/>
      <c r="I216" s="251"/>
      <c r="J216" s="251"/>
      <c r="K216" s="252"/>
      <c r="L216" s="253"/>
      <c r="M216" s="254"/>
      <c r="N216" s="255"/>
      <c r="O216" s="254"/>
      <c r="P216" s="254"/>
      <c r="Q216" s="212"/>
      <c r="R216" s="213"/>
      <c r="S216" s="213"/>
      <c r="T216" s="213"/>
      <c r="U216" s="213"/>
      <c r="V216" s="213"/>
    </row>
    <row r="217" spans="1:34" s="214" customFormat="1" ht="47.25" customHeight="1" thickBot="1" x14ac:dyDescent="0.45">
      <c r="A217" s="538" t="s">
        <v>668</v>
      </c>
      <c r="B217" s="539"/>
      <c r="C217" s="539"/>
      <c r="D217" s="539"/>
      <c r="E217" s="539"/>
      <c r="F217" s="539"/>
      <c r="G217" s="539"/>
      <c r="H217" s="539"/>
      <c r="I217" s="539"/>
      <c r="J217" s="539"/>
      <c r="K217" s="539"/>
      <c r="L217" s="539"/>
      <c r="M217" s="539"/>
      <c r="N217" s="539"/>
      <c r="O217" s="539"/>
      <c r="P217" s="539"/>
      <c r="Q217" s="246"/>
      <c r="R217" s="215"/>
      <c r="S217" s="215"/>
      <c r="T217" s="215"/>
      <c r="U217" s="215"/>
      <c r="V217" s="215"/>
      <c r="W217" s="216"/>
    </row>
    <row r="218" spans="1:34" s="216" customFormat="1" ht="70.8" thickTop="1" thickBot="1" x14ac:dyDescent="0.35">
      <c r="A218" s="294" t="s">
        <v>4</v>
      </c>
      <c r="B218" s="295" t="s">
        <v>5</v>
      </c>
      <c r="C218" s="454" t="s">
        <v>6</v>
      </c>
      <c r="D218" s="297" t="s">
        <v>7</v>
      </c>
      <c r="E218" s="298" t="s">
        <v>8</v>
      </c>
      <c r="F218" s="299" t="s">
        <v>9</v>
      </c>
      <c r="G218" s="300" t="s">
        <v>10</v>
      </c>
      <c r="H218" s="301" t="s">
        <v>11</v>
      </c>
      <c r="I218" s="302" t="s">
        <v>669</v>
      </c>
      <c r="J218" s="302" t="s">
        <v>13</v>
      </c>
      <c r="K218" s="303" t="s">
        <v>670</v>
      </c>
      <c r="L218" s="188" t="s">
        <v>15</v>
      </c>
      <c r="M218" s="304" t="s">
        <v>16</v>
      </c>
      <c r="N218" s="188" t="s">
        <v>292</v>
      </c>
      <c r="O218" s="304" t="s">
        <v>18</v>
      </c>
      <c r="P218" s="304" t="s">
        <v>671</v>
      </c>
      <c r="Q218" s="217"/>
      <c r="R218" s="218"/>
      <c r="S218" s="219"/>
      <c r="T218" s="219"/>
      <c r="U218" s="219"/>
      <c r="V218" s="219"/>
    </row>
    <row r="219" spans="1:34" s="216" customFormat="1" ht="62.4" x14ac:dyDescent="0.3">
      <c r="A219" s="540" t="s">
        <v>672</v>
      </c>
      <c r="B219" s="235" t="s">
        <v>673</v>
      </c>
      <c r="C219" s="460" t="s">
        <v>674</v>
      </c>
      <c r="D219" s="230" t="s">
        <v>675</v>
      </c>
      <c r="E219" s="231" t="s">
        <v>676</v>
      </c>
      <c r="F219" s="231" t="s">
        <v>677</v>
      </c>
      <c r="G219" s="230" t="s">
        <v>678</v>
      </c>
      <c r="H219" s="234">
        <v>1000000</v>
      </c>
      <c r="I219" s="234">
        <v>0</v>
      </c>
      <c r="J219" s="234">
        <v>0</v>
      </c>
      <c r="K219" s="368">
        <f t="shared" ref="K219:K228" si="21">SUM(H219:J219)</f>
        <v>1000000</v>
      </c>
      <c r="L219" s="369">
        <v>1000000</v>
      </c>
      <c r="M219" s="369">
        <f t="shared" ref="M219:M246" si="22">K219-L219</f>
        <v>0</v>
      </c>
      <c r="N219" s="369">
        <v>0</v>
      </c>
      <c r="O219" s="369">
        <f>2000000-986432</f>
        <v>1013568</v>
      </c>
      <c r="P219" s="369">
        <f t="shared" ref="P219:P274" si="23">SUM(M219:O219)</f>
        <v>1013568</v>
      </c>
      <c r="Q219" s="220"/>
      <c r="R219" s="218"/>
      <c r="S219" s="219"/>
      <c r="T219" s="219"/>
      <c r="U219" s="219"/>
      <c r="V219" s="219"/>
    </row>
    <row r="220" spans="1:34" s="216" customFormat="1" ht="93.6" x14ac:dyDescent="0.4">
      <c r="A220" s="539"/>
      <c r="B220" s="235" t="s">
        <v>679</v>
      </c>
      <c r="C220" s="256" t="s">
        <v>680</v>
      </c>
      <c r="D220" s="257">
        <v>42705</v>
      </c>
      <c r="E220" s="232" t="s">
        <v>681</v>
      </c>
      <c r="F220" s="232" t="s">
        <v>682</v>
      </c>
      <c r="G220" s="233" t="s">
        <v>678</v>
      </c>
      <c r="H220" s="234">
        <v>1123000</v>
      </c>
      <c r="I220" s="259">
        <v>0</v>
      </c>
      <c r="J220" s="234">
        <v>6077000</v>
      </c>
      <c r="K220" s="368">
        <f t="shared" si="21"/>
        <v>7200000</v>
      </c>
      <c r="L220" s="369">
        <v>5125100</v>
      </c>
      <c r="M220" s="369">
        <f t="shared" si="22"/>
        <v>2074900</v>
      </c>
      <c r="N220" s="369">
        <v>-1000000</v>
      </c>
      <c r="O220" s="369">
        <v>5575100</v>
      </c>
      <c r="P220" s="369">
        <f t="shared" si="23"/>
        <v>6650000</v>
      </c>
      <c r="Q220" s="218"/>
      <c r="R220" s="218"/>
      <c r="S220" s="218"/>
      <c r="T220" s="218"/>
      <c r="U220" s="218"/>
      <c r="V220" s="218"/>
      <c r="W220" s="218"/>
      <c r="X220" s="218"/>
      <c r="Y220" s="218"/>
      <c r="Z220" s="218"/>
      <c r="AA220" s="218"/>
      <c r="AB220" s="218"/>
      <c r="AC220" s="218"/>
      <c r="AD220" s="218"/>
      <c r="AE220" s="218"/>
      <c r="AF220" s="218"/>
      <c r="AG220" s="218"/>
      <c r="AH220" s="218"/>
    </row>
    <row r="221" spans="1:34" s="216" customFormat="1" ht="31.2" x14ac:dyDescent="0.4">
      <c r="A221" s="539"/>
      <c r="B221" s="235" t="s">
        <v>683</v>
      </c>
      <c r="C221" s="460" t="s">
        <v>684</v>
      </c>
      <c r="D221" s="230" t="s">
        <v>685</v>
      </c>
      <c r="E221" s="231" t="s">
        <v>686</v>
      </c>
      <c r="F221" s="231" t="s">
        <v>687</v>
      </c>
      <c r="G221" s="230" t="s">
        <v>678</v>
      </c>
      <c r="H221" s="234">
        <v>290700</v>
      </c>
      <c r="I221" s="259">
        <v>0</v>
      </c>
      <c r="J221" s="234">
        <v>1809300</v>
      </c>
      <c r="K221" s="368">
        <f t="shared" si="21"/>
        <v>2100000</v>
      </c>
      <c r="L221" s="369">
        <v>-469600</v>
      </c>
      <c r="M221" s="369">
        <f t="shared" si="22"/>
        <v>2569600</v>
      </c>
      <c r="N221" s="369">
        <v>0</v>
      </c>
      <c r="O221" s="369">
        <v>930400</v>
      </c>
      <c r="P221" s="369">
        <f t="shared" si="23"/>
        <v>3500000</v>
      </c>
      <c r="Q221" s="218"/>
      <c r="R221" s="218"/>
      <c r="S221" s="218"/>
      <c r="T221" s="218"/>
      <c r="U221" s="218"/>
      <c r="V221" s="218"/>
      <c r="W221" s="218"/>
      <c r="X221" s="218"/>
      <c r="Y221" s="218"/>
      <c r="Z221" s="218"/>
      <c r="AA221" s="218"/>
      <c r="AB221" s="218"/>
      <c r="AC221" s="218"/>
      <c r="AD221" s="218"/>
      <c r="AE221" s="218"/>
      <c r="AF221" s="218"/>
      <c r="AG221" s="218"/>
      <c r="AH221" s="218"/>
    </row>
    <row r="222" spans="1:34" s="216" customFormat="1" ht="62.4" x14ac:dyDescent="0.4">
      <c r="A222" s="539"/>
      <c r="B222" s="235" t="s">
        <v>688</v>
      </c>
      <c r="C222" s="256" t="s">
        <v>689</v>
      </c>
      <c r="D222" s="257">
        <v>42705</v>
      </c>
      <c r="E222" s="232" t="s">
        <v>690</v>
      </c>
      <c r="F222" s="232" t="s">
        <v>691</v>
      </c>
      <c r="G222" s="233" t="s">
        <v>692</v>
      </c>
      <c r="H222" s="234">
        <v>5103120</v>
      </c>
      <c r="I222" s="259">
        <v>0</v>
      </c>
      <c r="J222" s="234">
        <v>0</v>
      </c>
      <c r="K222" s="368">
        <f t="shared" si="21"/>
        <v>5103120</v>
      </c>
      <c r="L222" s="369">
        <v>805400</v>
      </c>
      <c r="M222" s="369">
        <f t="shared" si="22"/>
        <v>4297720</v>
      </c>
      <c r="N222" s="369">
        <v>0</v>
      </c>
      <c r="O222" s="369">
        <v>3000000</v>
      </c>
      <c r="P222" s="369">
        <f t="shared" si="23"/>
        <v>7297720</v>
      </c>
      <c r="Q222" s="218"/>
      <c r="R222" s="218"/>
      <c r="S222" s="218"/>
      <c r="T222" s="218"/>
      <c r="U222" s="218"/>
      <c r="V222" s="218"/>
      <c r="W222" s="218"/>
      <c r="X222" s="218"/>
      <c r="Y222" s="218"/>
      <c r="Z222" s="218"/>
      <c r="AA222" s="218"/>
      <c r="AB222" s="218"/>
      <c r="AC222" s="218"/>
      <c r="AD222" s="218"/>
      <c r="AE222" s="218"/>
      <c r="AF222" s="218"/>
      <c r="AG222" s="218"/>
      <c r="AH222" s="218"/>
    </row>
    <row r="223" spans="1:34" s="216" customFormat="1" ht="78" x14ac:dyDescent="0.4">
      <c r="A223" s="539"/>
      <c r="B223" s="235" t="s">
        <v>693</v>
      </c>
      <c r="C223" s="460" t="s">
        <v>694</v>
      </c>
      <c r="D223" s="230" t="s">
        <v>695</v>
      </c>
      <c r="E223" s="231" t="s">
        <v>696</v>
      </c>
      <c r="F223" s="232" t="s">
        <v>682</v>
      </c>
      <c r="G223" s="233" t="s">
        <v>697</v>
      </c>
      <c r="H223" s="234">
        <v>1015000</v>
      </c>
      <c r="I223" s="259">
        <v>0</v>
      </c>
      <c r="J223" s="234">
        <v>985000</v>
      </c>
      <c r="K223" s="368">
        <f t="shared" si="21"/>
        <v>2000000</v>
      </c>
      <c r="L223" s="369">
        <v>1192000</v>
      </c>
      <c r="M223" s="369">
        <f t="shared" si="22"/>
        <v>808000</v>
      </c>
      <c r="N223" s="369">
        <v>0</v>
      </c>
      <c r="O223" s="369">
        <v>1192000</v>
      </c>
      <c r="P223" s="369">
        <f t="shared" si="23"/>
        <v>2000000</v>
      </c>
      <c r="Q223" s="218"/>
      <c r="R223" s="218"/>
      <c r="S223" s="218"/>
      <c r="T223" s="218"/>
      <c r="U223" s="218"/>
      <c r="V223" s="218"/>
      <c r="W223" s="218"/>
      <c r="X223" s="218"/>
      <c r="Y223" s="218"/>
      <c r="Z223" s="218"/>
      <c r="AA223" s="218"/>
      <c r="AB223" s="218"/>
      <c r="AC223" s="218"/>
      <c r="AD223" s="218"/>
      <c r="AE223" s="218"/>
      <c r="AF223" s="218"/>
      <c r="AG223" s="218"/>
      <c r="AH223" s="218"/>
    </row>
    <row r="224" spans="1:34" s="216" customFormat="1" ht="31.2" x14ac:dyDescent="0.4">
      <c r="A224" s="539"/>
      <c r="B224" s="235" t="s">
        <v>698</v>
      </c>
      <c r="C224" s="461" t="s">
        <v>699</v>
      </c>
      <c r="D224" s="233" t="s">
        <v>695</v>
      </c>
      <c r="E224" s="232" t="s">
        <v>700</v>
      </c>
      <c r="F224" s="232" t="s">
        <v>701</v>
      </c>
      <c r="G224" s="233" t="s">
        <v>678</v>
      </c>
      <c r="H224" s="234">
        <v>922700</v>
      </c>
      <c r="I224" s="259">
        <v>0</v>
      </c>
      <c r="J224" s="234">
        <v>2577300</v>
      </c>
      <c r="K224" s="368">
        <f t="shared" si="21"/>
        <v>3500000</v>
      </c>
      <c r="L224" s="369">
        <v>1727800</v>
      </c>
      <c r="M224" s="369">
        <f t="shared" si="22"/>
        <v>1772200</v>
      </c>
      <c r="N224" s="369">
        <v>-1000000</v>
      </c>
      <c r="O224" s="369">
        <v>2227800</v>
      </c>
      <c r="P224" s="369">
        <f t="shared" si="23"/>
        <v>3000000</v>
      </c>
      <c r="Q224" s="218"/>
      <c r="R224" s="218"/>
      <c r="S224" s="218"/>
      <c r="T224" s="218"/>
      <c r="U224" s="218"/>
      <c r="V224" s="218"/>
      <c r="W224" s="218"/>
      <c r="X224" s="218"/>
      <c r="Y224" s="218"/>
      <c r="Z224" s="218"/>
      <c r="AA224" s="218"/>
      <c r="AB224" s="218"/>
      <c r="AC224" s="218"/>
      <c r="AD224" s="218"/>
      <c r="AE224" s="218"/>
      <c r="AF224" s="218"/>
      <c r="AG224" s="218"/>
      <c r="AH224" s="218"/>
    </row>
    <row r="225" spans="1:255" s="216" customFormat="1" ht="46.8" x14ac:dyDescent="0.4">
      <c r="A225" s="539"/>
      <c r="B225" s="235" t="s">
        <v>702</v>
      </c>
      <c r="C225" s="256" t="s">
        <v>703</v>
      </c>
      <c r="D225" s="257">
        <v>42675</v>
      </c>
      <c r="E225" s="232" t="s">
        <v>704</v>
      </c>
      <c r="F225" s="232" t="s">
        <v>705</v>
      </c>
      <c r="G225" s="233" t="s">
        <v>678</v>
      </c>
      <c r="H225" s="234">
        <v>8000000</v>
      </c>
      <c r="I225" s="259">
        <v>0</v>
      </c>
      <c r="J225" s="234">
        <v>2000000</v>
      </c>
      <c r="K225" s="368">
        <f t="shared" si="21"/>
        <v>10000000</v>
      </c>
      <c r="L225" s="369">
        <v>0</v>
      </c>
      <c r="M225" s="369">
        <f t="shared" si="22"/>
        <v>10000000</v>
      </c>
      <c r="N225" s="369">
        <v>0</v>
      </c>
      <c r="O225" s="369">
        <v>0</v>
      </c>
      <c r="P225" s="369">
        <f t="shared" si="23"/>
        <v>10000000</v>
      </c>
      <c r="Q225" s="218"/>
      <c r="R225" s="218"/>
      <c r="S225" s="218"/>
      <c r="T225" s="218"/>
      <c r="U225" s="218"/>
      <c r="V225" s="218"/>
      <c r="W225" s="218"/>
      <c r="X225" s="218"/>
      <c r="Y225" s="218"/>
      <c r="Z225" s="218"/>
      <c r="AA225" s="218"/>
      <c r="AB225" s="218"/>
      <c r="AC225" s="218"/>
      <c r="AD225" s="218"/>
      <c r="AE225" s="218"/>
      <c r="AF225" s="218"/>
      <c r="AG225" s="218"/>
      <c r="AH225" s="218"/>
    </row>
    <row r="226" spans="1:255" s="216" customFormat="1" ht="78" x14ac:dyDescent="0.4">
      <c r="A226" s="539"/>
      <c r="B226" s="235" t="s">
        <v>706</v>
      </c>
      <c r="C226" s="256" t="s">
        <v>707</v>
      </c>
      <c r="D226" s="257">
        <v>42675</v>
      </c>
      <c r="E226" s="232" t="s">
        <v>708</v>
      </c>
      <c r="F226" s="232" t="s">
        <v>705</v>
      </c>
      <c r="G226" s="233" t="s">
        <v>678</v>
      </c>
      <c r="H226" s="234">
        <v>5355000</v>
      </c>
      <c r="I226" s="259">
        <v>0</v>
      </c>
      <c r="J226" s="234">
        <v>4645900</v>
      </c>
      <c r="K226" s="368">
        <f t="shared" si="21"/>
        <v>10000900</v>
      </c>
      <c r="L226" s="369">
        <v>8247200</v>
      </c>
      <c r="M226" s="369">
        <f t="shared" si="22"/>
        <v>1753700</v>
      </c>
      <c r="N226" s="369">
        <v>0</v>
      </c>
      <c r="O226" s="369">
        <v>3826300</v>
      </c>
      <c r="P226" s="369">
        <f t="shared" si="23"/>
        <v>5580000</v>
      </c>
      <c r="Q226" s="218"/>
      <c r="R226" s="218"/>
      <c r="S226" s="218"/>
      <c r="T226" s="218"/>
      <c r="U226" s="218"/>
      <c r="V226" s="218"/>
      <c r="W226" s="218"/>
      <c r="X226" s="218"/>
      <c r="Y226" s="218"/>
      <c r="Z226" s="218"/>
      <c r="AA226" s="218"/>
      <c r="AB226" s="218"/>
      <c r="AC226" s="218"/>
      <c r="AD226" s="218"/>
      <c r="AE226" s="218"/>
      <c r="AF226" s="218"/>
      <c r="AG226" s="218"/>
      <c r="AH226" s="218"/>
    </row>
    <row r="227" spans="1:255" s="216" customFormat="1" ht="31.2" x14ac:dyDescent="0.4">
      <c r="A227" s="539"/>
      <c r="B227" s="229" t="s">
        <v>709</v>
      </c>
      <c r="C227" s="460" t="s">
        <v>710</v>
      </c>
      <c r="D227" s="236">
        <v>42675</v>
      </c>
      <c r="E227" s="231" t="s">
        <v>708</v>
      </c>
      <c r="F227" s="231" t="s">
        <v>705</v>
      </c>
      <c r="G227" s="230" t="s">
        <v>678</v>
      </c>
      <c r="H227" s="234">
        <v>1200000</v>
      </c>
      <c r="I227" s="259">
        <v>0</v>
      </c>
      <c r="J227" s="234">
        <v>0</v>
      </c>
      <c r="K227" s="368">
        <f t="shared" si="21"/>
        <v>1200000</v>
      </c>
      <c r="L227" s="369">
        <v>650000</v>
      </c>
      <c r="M227" s="369">
        <f t="shared" si="22"/>
        <v>550000</v>
      </c>
      <c r="N227" s="369">
        <v>-500000</v>
      </c>
      <c r="O227" s="369">
        <v>0</v>
      </c>
      <c r="P227" s="369">
        <f t="shared" si="23"/>
        <v>50000</v>
      </c>
      <c r="Q227" s="218"/>
      <c r="R227" s="218"/>
      <c r="S227" s="218"/>
      <c r="T227" s="218"/>
      <c r="U227" s="218"/>
      <c r="V227" s="218"/>
      <c r="W227" s="218"/>
      <c r="X227" s="218"/>
      <c r="Y227" s="218"/>
      <c r="Z227" s="218"/>
      <c r="AA227" s="218"/>
      <c r="AB227" s="218"/>
      <c r="AC227" s="218"/>
      <c r="AD227" s="218"/>
      <c r="AE227" s="218"/>
      <c r="AF227" s="218"/>
      <c r="AG227" s="218"/>
      <c r="AH227" s="218"/>
    </row>
    <row r="228" spans="1:255" s="216" customFormat="1" ht="31.2" x14ac:dyDescent="0.4">
      <c r="A228" s="539"/>
      <c r="B228" s="229" t="s">
        <v>711</v>
      </c>
      <c r="C228" s="462" t="s">
        <v>712</v>
      </c>
      <c r="D228" s="236">
        <v>42644</v>
      </c>
      <c r="E228" s="231" t="s">
        <v>713</v>
      </c>
      <c r="F228" s="232" t="s">
        <v>714</v>
      </c>
      <c r="G228" s="233" t="s">
        <v>697</v>
      </c>
      <c r="H228" s="234">
        <v>1300000</v>
      </c>
      <c r="I228" s="259">
        <v>0</v>
      </c>
      <c r="J228" s="234">
        <v>0</v>
      </c>
      <c r="K228" s="368">
        <f t="shared" si="21"/>
        <v>1300000</v>
      </c>
      <c r="L228" s="369">
        <v>0</v>
      </c>
      <c r="M228" s="369">
        <f t="shared" si="22"/>
        <v>1300000</v>
      </c>
      <c r="N228" s="369"/>
      <c r="O228" s="369">
        <v>0</v>
      </c>
      <c r="P228" s="369">
        <f t="shared" si="23"/>
        <v>1300000</v>
      </c>
      <c r="Q228" s="218"/>
      <c r="R228" s="218"/>
      <c r="S228" s="218"/>
      <c r="T228" s="218"/>
      <c r="U228" s="218"/>
      <c r="V228" s="218"/>
      <c r="W228" s="218"/>
      <c r="X228" s="218"/>
      <c r="Y228" s="218"/>
      <c r="Z228" s="218"/>
      <c r="AA228" s="218"/>
      <c r="AB228" s="218"/>
      <c r="AC228" s="218"/>
      <c r="AD228" s="218"/>
      <c r="AE228" s="218"/>
      <c r="AF228" s="218"/>
      <c r="AG228" s="218"/>
      <c r="AH228" s="218"/>
    </row>
    <row r="229" spans="1:255" s="216" customFormat="1" ht="62.4" x14ac:dyDescent="0.4">
      <c r="A229" s="539"/>
      <c r="B229" s="229" t="s">
        <v>715</v>
      </c>
      <c r="C229" s="256" t="s">
        <v>716</v>
      </c>
      <c r="D229" s="230" t="s">
        <v>605</v>
      </c>
      <c r="E229" s="231" t="s">
        <v>717</v>
      </c>
      <c r="F229" s="232" t="s">
        <v>718</v>
      </c>
      <c r="G229" s="233" t="s">
        <v>697</v>
      </c>
      <c r="H229" s="234">
        <v>1257800</v>
      </c>
      <c r="I229" s="259">
        <v>0</v>
      </c>
      <c r="J229" s="234">
        <v>742200</v>
      </c>
      <c r="K229" s="368">
        <f>SUM(H229:J229)-500000</f>
        <v>1500000</v>
      </c>
      <c r="L229" s="369">
        <v>0</v>
      </c>
      <c r="M229" s="369">
        <f t="shared" si="22"/>
        <v>1500000</v>
      </c>
      <c r="N229" s="369">
        <v>-500000</v>
      </c>
      <c r="O229" s="369">
        <v>500000</v>
      </c>
      <c r="P229" s="369">
        <f t="shared" si="23"/>
        <v>1500000</v>
      </c>
      <c r="Q229" s="218"/>
      <c r="R229" s="218"/>
      <c r="S229" s="218"/>
      <c r="T229" s="218"/>
      <c r="U229" s="218"/>
      <c r="V229" s="218"/>
      <c r="W229" s="218"/>
      <c r="X229" s="218"/>
      <c r="Y229" s="218"/>
      <c r="Z229" s="218"/>
      <c r="AA229" s="218"/>
      <c r="AB229" s="218"/>
      <c r="AC229" s="218"/>
      <c r="AD229" s="218"/>
      <c r="AE229" s="218"/>
      <c r="AF229" s="218"/>
      <c r="AG229" s="218"/>
      <c r="AH229" s="218"/>
    </row>
    <row r="230" spans="1:255" s="216" customFormat="1" ht="93.6" x14ac:dyDescent="0.4">
      <c r="A230" s="539"/>
      <c r="B230" s="235" t="s">
        <v>719</v>
      </c>
      <c r="C230" s="256" t="s">
        <v>720</v>
      </c>
      <c r="D230" s="257">
        <v>42644</v>
      </c>
      <c r="E230" s="232" t="s">
        <v>721</v>
      </c>
      <c r="F230" s="232" t="s">
        <v>722</v>
      </c>
      <c r="G230" s="233" t="s">
        <v>697</v>
      </c>
      <c r="H230" s="234">
        <v>914615</v>
      </c>
      <c r="I230" s="259">
        <v>0</v>
      </c>
      <c r="J230" s="234">
        <f>3085385+524749</f>
        <v>3610134</v>
      </c>
      <c r="K230" s="368">
        <f>SUM(H230:J230)</f>
        <v>4524749</v>
      </c>
      <c r="L230" s="369">
        <f>837296-650000</f>
        <v>187296</v>
      </c>
      <c r="M230" s="369">
        <f t="shared" si="22"/>
        <v>4337453</v>
      </c>
      <c r="N230" s="369">
        <v>-1000000</v>
      </c>
      <c r="O230" s="369">
        <v>3072547</v>
      </c>
      <c r="P230" s="369">
        <f t="shared" si="23"/>
        <v>6410000</v>
      </c>
      <c r="Q230" s="218"/>
      <c r="R230" s="218"/>
      <c r="S230" s="218"/>
      <c r="T230" s="218"/>
      <c r="U230" s="218"/>
      <c r="V230" s="218"/>
      <c r="W230" s="218"/>
      <c r="X230" s="218"/>
      <c r="Y230" s="218"/>
      <c r="Z230" s="218"/>
      <c r="AA230" s="218"/>
      <c r="AB230" s="218"/>
      <c r="AC230" s="218"/>
      <c r="AD230" s="218"/>
      <c r="AE230" s="218"/>
      <c r="AF230" s="218"/>
      <c r="AG230" s="218"/>
      <c r="AH230" s="218"/>
    </row>
    <row r="231" spans="1:255" s="216" customFormat="1" ht="46.8" x14ac:dyDescent="0.4">
      <c r="A231" s="539"/>
      <c r="B231" s="229" t="s">
        <v>723</v>
      </c>
      <c r="C231" s="460" t="s">
        <v>724</v>
      </c>
      <c r="D231" s="236">
        <v>42644</v>
      </c>
      <c r="E231" s="231" t="s">
        <v>725</v>
      </c>
      <c r="F231" s="232" t="s">
        <v>726</v>
      </c>
      <c r="G231" s="233" t="s">
        <v>697</v>
      </c>
      <c r="H231" s="234">
        <v>4144800</v>
      </c>
      <c r="I231" s="259">
        <v>0</v>
      </c>
      <c r="J231" s="234">
        <v>3500000</v>
      </c>
      <c r="K231" s="368">
        <f>SUM(H231:J231)</f>
        <v>7644800</v>
      </c>
      <c r="L231" s="369">
        <v>4302400</v>
      </c>
      <c r="M231" s="369">
        <f t="shared" si="22"/>
        <v>3342400</v>
      </c>
      <c r="N231" s="369">
        <v>0</v>
      </c>
      <c r="O231" s="369">
        <v>3500000</v>
      </c>
      <c r="P231" s="369">
        <f t="shared" si="23"/>
        <v>6842400</v>
      </c>
      <c r="Q231" s="218"/>
      <c r="R231" s="218"/>
      <c r="S231" s="218"/>
      <c r="T231" s="218"/>
      <c r="U231" s="218"/>
      <c r="V231" s="218"/>
      <c r="W231" s="218"/>
      <c r="X231" s="218"/>
      <c r="Y231" s="218"/>
      <c r="Z231" s="218"/>
      <c r="AA231" s="218"/>
      <c r="AB231" s="218"/>
      <c r="AC231" s="218"/>
      <c r="AD231" s="218"/>
      <c r="AE231" s="218"/>
      <c r="AF231" s="218"/>
      <c r="AG231" s="218"/>
      <c r="AH231" s="218"/>
    </row>
    <row r="232" spans="1:255" s="221" customFormat="1" ht="140.4" x14ac:dyDescent="0.4">
      <c r="A232" s="539"/>
      <c r="B232" s="235" t="s">
        <v>727</v>
      </c>
      <c r="C232" s="256" t="s">
        <v>728</v>
      </c>
      <c r="D232" s="257">
        <v>42644</v>
      </c>
      <c r="E232" s="232" t="s">
        <v>729</v>
      </c>
      <c r="F232" s="232" t="s">
        <v>730</v>
      </c>
      <c r="G232" s="233" t="s">
        <v>678</v>
      </c>
      <c r="H232" s="234">
        <v>1800000</v>
      </c>
      <c r="I232" s="259">
        <v>0</v>
      </c>
      <c r="J232" s="234">
        <v>0</v>
      </c>
      <c r="K232" s="368">
        <f>SUM(H232:J232)</f>
        <v>1800000</v>
      </c>
      <c r="L232" s="369">
        <v>0</v>
      </c>
      <c r="M232" s="369">
        <f t="shared" si="22"/>
        <v>1800000</v>
      </c>
      <c r="N232" s="369">
        <v>-1440000</v>
      </c>
      <c r="O232" s="369">
        <v>0</v>
      </c>
      <c r="P232" s="369">
        <f t="shared" si="23"/>
        <v>360000</v>
      </c>
      <c r="Q232" s="218"/>
      <c r="R232" s="218"/>
      <c r="S232" s="218"/>
      <c r="T232" s="218"/>
      <c r="U232" s="218"/>
      <c r="V232" s="218"/>
      <c r="W232" s="218"/>
      <c r="X232" s="218"/>
      <c r="Y232" s="218"/>
      <c r="Z232" s="218"/>
      <c r="AA232" s="218"/>
      <c r="AB232" s="218"/>
      <c r="AC232" s="218"/>
      <c r="AD232" s="218"/>
      <c r="AE232" s="218"/>
      <c r="AF232" s="218"/>
      <c r="AG232" s="218"/>
      <c r="AH232" s="218"/>
      <c r="AI232" s="216"/>
      <c r="AJ232" s="216"/>
      <c r="AK232" s="216"/>
      <c r="AL232" s="216"/>
      <c r="AM232" s="216"/>
      <c r="AN232" s="216"/>
      <c r="AO232" s="216"/>
      <c r="AP232" s="216"/>
      <c r="AQ232" s="216"/>
      <c r="AR232" s="216"/>
      <c r="AS232" s="216"/>
      <c r="AT232" s="216"/>
      <c r="AU232" s="216"/>
      <c r="AV232" s="216"/>
      <c r="AW232" s="216"/>
      <c r="AX232" s="216"/>
      <c r="AY232" s="216"/>
      <c r="AZ232" s="216"/>
      <c r="BA232" s="216"/>
      <c r="BB232" s="216"/>
      <c r="BC232" s="216"/>
      <c r="BD232" s="216"/>
      <c r="BE232" s="216"/>
      <c r="BF232" s="216"/>
      <c r="BG232" s="216"/>
      <c r="BH232" s="216"/>
      <c r="BI232" s="216"/>
      <c r="BJ232" s="216"/>
      <c r="BK232" s="216"/>
      <c r="BL232" s="216"/>
      <c r="BM232" s="216"/>
      <c r="BN232" s="216"/>
      <c r="BO232" s="216"/>
      <c r="BP232" s="216"/>
      <c r="BQ232" s="216"/>
      <c r="BR232" s="216"/>
      <c r="BS232" s="216"/>
      <c r="BT232" s="216"/>
      <c r="BU232" s="216"/>
      <c r="BV232" s="216"/>
      <c r="BW232" s="216"/>
      <c r="BX232" s="216"/>
      <c r="BY232" s="216"/>
      <c r="BZ232" s="216"/>
      <c r="CA232" s="216"/>
      <c r="CB232" s="216"/>
      <c r="CC232" s="216"/>
      <c r="CD232" s="216"/>
      <c r="CE232" s="216"/>
      <c r="CF232" s="216"/>
      <c r="CG232" s="216"/>
      <c r="CH232" s="216"/>
      <c r="CI232" s="216"/>
      <c r="CJ232" s="216"/>
      <c r="CK232" s="216"/>
      <c r="CL232" s="216"/>
      <c r="CM232" s="216"/>
      <c r="CN232" s="216"/>
      <c r="CO232" s="216"/>
      <c r="CP232" s="216"/>
      <c r="CQ232" s="216"/>
      <c r="CR232" s="216"/>
      <c r="CS232" s="216"/>
      <c r="CT232" s="216"/>
      <c r="CU232" s="216"/>
      <c r="CV232" s="216"/>
      <c r="CW232" s="216"/>
      <c r="CX232" s="216"/>
      <c r="CY232" s="216"/>
      <c r="CZ232" s="216"/>
      <c r="DA232" s="216"/>
      <c r="DB232" s="216"/>
      <c r="DC232" s="216"/>
      <c r="DD232" s="216"/>
      <c r="DE232" s="216"/>
      <c r="DF232" s="216"/>
      <c r="DG232" s="216"/>
      <c r="DH232" s="216"/>
      <c r="DI232" s="216"/>
      <c r="DJ232" s="216"/>
      <c r="DK232" s="216"/>
      <c r="DL232" s="216"/>
      <c r="DM232" s="216"/>
      <c r="DN232" s="216"/>
      <c r="DO232" s="216"/>
      <c r="DP232" s="216"/>
      <c r="DQ232" s="216"/>
      <c r="DR232" s="216"/>
      <c r="DS232" s="216"/>
      <c r="DT232" s="216"/>
      <c r="DU232" s="216"/>
      <c r="DV232" s="216"/>
      <c r="DW232" s="216"/>
      <c r="DX232" s="216"/>
      <c r="DY232" s="216"/>
      <c r="DZ232" s="216"/>
      <c r="EA232" s="216"/>
      <c r="EB232" s="216"/>
      <c r="EC232" s="216"/>
      <c r="ED232" s="216"/>
      <c r="EE232" s="216"/>
      <c r="EF232" s="216"/>
      <c r="EG232" s="216"/>
      <c r="EH232" s="216"/>
      <c r="EI232" s="216"/>
      <c r="EJ232" s="216"/>
      <c r="EK232" s="216"/>
      <c r="EL232" s="216"/>
      <c r="EM232" s="216"/>
      <c r="EN232" s="216"/>
      <c r="EO232" s="216"/>
      <c r="EP232" s="216"/>
      <c r="EQ232" s="216"/>
      <c r="ER232" s="216"/>
      <c r="ES232" s="216"/>
      <c r="ET232" s="216"/>
      <c r="EU232" s="216"/>
      <c r="EV232" s="216"/>
      <c r="EW232" s="216"/>
      <c r="EX232" s="216"/>
      <c r="EY232" s="216"/>
      <c r="EZ232" s="216"/>
      <c r="FA232" s="216"/>
      <c r="FB232" s="216"/>
      <c r="FC232" s="216"/>
      <c r="FD232" s="216"/>
      <c r="FE232" s="216"/>
      <c r="FF232" s="216"/>
      <c r="FG232" s="216"/>
      <c r="FH232" s="216"/>
      <c r="FI232" s="216"/>
      <c r="FJ232" s="216"/>
      <c r="FK232" s="216"/>
      <c r="FL232" s="216"/>
      <c r="FM232" s="216"/>
      <c r="FN232" s="216"/>
      <c r="FO232" s="216"/>
      <c r="FP232" s="216"/>
      <c r="FQ232" s="216"/>
      <c r="FR232" s="216"/>
      <c r="FS232" s="216"/>
      <c r="FT232" s="216"/>
      <c r="FU232" s="216"/>
      <c r="FV232" s="216"/>
      <c r="FW232" s="216"/>
      <c r="FX232" s="216"/>
      <c r="FY232" s="216"/>
      <c r="FZ232" s="216"/>
      <c r="GA232" s="216"/>
      <c r="GB232" s="216"/>
      <c r="GC232" s="216"/>
      <c r="GD232" s="216"/>
      <c r="GE232" s="216"/>
      <c r="GF232" s="216"/>
      <c r="GG232" s="216"/>
      <c r="GH232" s="216"/>
      <c r="GI232" s="216"/>
      <c r="GJ232" s="216"/>
      <c r="GK232" s="216"/>
      <c r="GL232" s="216"/>
      <c r="GM232" s="216"/>
      <c r="GN232" s="216"/>
      <c r="GO232" s="216"/>
      <c r="GP232" s="216"/>
      <c r="GQ232" s="216"/>
      <c r="GR232" s="216"/>
      <c r="GS232" s="216"/>
      <c r="GT232" s="216"/>
      <c r="GU232" s="216"/>
      <c r="GV232" s="216"/>
      <c r="GW232" s="216"/>
      <c r="GX232" s="216"/>
      <c r="GY232" s="216"/>
      <c r="GZ232" s="216"/>
      <c r="HA232" s="216"/>
      <c r="HB232" s="216"/>
      <c r="HC232" s="216"/>
      <c r="HD232" s="216"/>
      <c r="HE232" s="216"/>
      <c r="HF232" s="216"/>
      <c r="HG232" s="216"/>
      <c r="HH232" s="216"/>
      <c r="HI232" s="216"/>
      <c r="HJ232" s="216"/>
      <c r="HK232" s="216"/>
      <c r="HL232" s="216"/>
      <c r="HM232" s="216"/>
      <c r="HN232" s="216"/>
      <c r="HO232" s="216"/>
      <c r="HP232" s="216"/>
      <c r="HQ232" s="216"/>
      <c r="HR232" s="216"/>
      <c r="HS232" s="216"/>
      <c r="HT232" s="216"/>
      <c r="HU232" s="216"/>
      <c r="HV232" s="216"/>
      <c r="HW232" s="216"/>
      <c r="HX232" s="216"/>
      <c r="HY232" s="216"/>
      <c r="HZ232" s="216"/>
      <c r="IA232" s="216"/>
      <c r="IB232" s="216"/>
      <c r="IC232" s="216"/>
      <c r="ID232" s="216"/>
      <c r="IE232" s="216"/>
      <c r="IF232" s="216"/>
      <c r="IG232" s="216"/>
      <c r="IH232" s="216"/>
      <c r="II232" s="216"/>
      <c r="IJ232" s="216"/>
      <c r="IK232" s="216"/>
      <c r="IL232" s="216"/>
      <c r="IM232" s="216"/>
      <c r="IN232" s="216"/>
      <c r="IO232" s="216"/>
      <c r="IP232" s="216"/>
      <c r="IQ232" s="216"/>
      <c r="IR232" s="216"/>
      <c r="IS232" s="216"/>
      <c r="IT232" s="216"/>
      <c r="IU232" s="216"/>
    </row>
    <row r="233" spans="1:255" s="221" customFormat="1" ht="124.8" x14ac:dyDescent="0.4">
      <c r="A233" s="539"/>
      <c r="B233" s="235" t="s">
        <v>731</v>
      </c>
      <c r="C233" s="256" t="s">
        <v>732</v>
      </c>
      <c r="D233" s="257">
        <v>42675</v>
      </c>
      <c r="E233" s="232" t="s">
        <v>733</v>
      </c>
      <c r="F233" s="232" t="s">
        <v>734</v>
      </c>
      <c r="G233" s="233" t="s">
        <v>678</v>
      </c>
      <c r="H233" s="234">
        <v>3000000</v>
      </c>
      <c r="I233" s="259"/>
      <c r="J233" s="234">
        <v>0</v>
      </c>
      <c r="K233" s="368">
        <f>SUM(H233:J233)</f>
        <v>3000000</v>
      </c>
      <c r="L233" s="369">
        <v>0</v>
      </c>
      <c r="M233" s="369">
        <f t="shared" si="22"/>
        <v>3000000</v>
      </c>
      <c r="N233" s="369">
        <v>0</v>
      </c>
      <c r="O233" s="369">
        <v>0</v>
      </c>
      <c r="P233" s="369">
        <f t="shared" si="23"/>
        <v>3000000</v>
      </c>
      <c r="Q233" s="218"/>
      <c r="R233" s="218"/>
      <c r="S233" s="218"/>
      <c r="T233" s="218"/>
      <c r="U233" s="218"/>
      <c r="V233" s="218"/>
      <c r="W233" s="218"/>
      <c r="X233" s="218"/>
      <c r="Y233" s="218"/>
      <c r="Z233" s="218"/>
      <c r="AA233" s="218"/>
      <c r="AB233" s="218"/>
      <c r="AC233" s="218"/>
      <c r="AD233" s="218"/>
      <c r="AE233" s="218"/>
      <c r="AF233" s="218"/>
      <c r="AG233" s="218"/>
      <c r="AH233" s="218"/>
      <c r="AI233" s="216"/>
      <c r="AJ233" s="216"/>
      <c r="AK233" s="216"/>
      <c r="AL233" s="216"/>
      <c r="AM233" s="216"/>
      <c r="AN233" s="216"/>
      <c r="AO233" s="216"/>
      <c r="AP233" s="216"/>
      <c r="AQ233" s="216"/>
      <c r="AR233" s="216"/>
      <c r="AS233" s="216"/>
      <c r="AT233" s="216"/>
      <c r="AU233" s="216"/>
      <c r="AV233" s="216"/>
      <c r="AW233" s="216"/>
      <c r="AX233" s="216"/>
      <c r="AY233" s="216"/>
      <c r="AZ233" s="216"/>
      <c r="BA233" s="216"/>
      <c r="BB233" s="216"/>
      <c r="BC233" s="216"/>
      <c r="BD233" s="216"/>
      <c r="BE233" s="216"/>
      <c r="BF233" s="216"/>
      <c r="BG233" s="216"/>
      <c r="BH233" s="216"/>
      <c r="BI233" s="216"/>
      <c r="BJ233" s="216"/>
      <c r="BK233" s="216"/>
      <c r="BL233" s="216"/>
      <c r="BM233" s="216"/>
      <c r="BN233" s="216"/>
      <c r="BO233" s="216"/>
      <c r="BP233" s="216"/>
      <c r="BQ233" s="216"/>
      <c r="BR233" s="216"/>
      <c r="BS233" s="216"/>
      <c r="BT233" s="216"/>
      <c r="BU233" s="216"/>
      <c r="BV233" s="216"/>
      <c r="BW233" s="216"/>
      <c r="BX233" s="216"/>
      <c r="BY233" s="216"/>
      <c r="BZ233" s="216"/>
      <c r="CA233" s="216"/>
      <c r="CB233" s="216"/>
      <c r="CC233" s="216"/>
      <c r="CD233" s="216"/>
      <c r="CE233" s="216"/>
      <c r="CF233" s="216"/>
      <c r="CG233" s="216"/>
      <c r="CH233" s="216"/>
      <c r="CI233" s="216"/>
      <c r="CJ233" s="216"/>
      <c r="CK233" s="216"/>
      <c r="CL233" s="216"/>
      <c r="CM233" s="216"/>
      <c r="CN233" s="216"/>
      <c r="CO233" s="216"/>
      <c r="CP233" s="216"/>
      <c r="CQ233" s="216"/>
      <c r="CR233" s="216"/>
      <c r="CS233" s="216"/>
      <c r="CT233" s="216"/>
      <c r="CU233" s="216"/>
      <c r="CV233" s="216"/>
      <c r="CW233" s="216"/>
      <c r="CX233" s="216"/>
      <c r="CY233" s="216"/>
      <c r="CZ233" s="216"/>
      <c r="DA233" s="216"/>
      <c r="DB233" s="216"/>
      <c r="DC233" s="216"/>
      <c r="DD233" s="216"/>
      <c r="DE233" s="216"/>
      <c r="DF233" s="216"/>
      <c r="DG233" s="216"/>
      <c r="DH233" s="216"/>
      <c r="DI233" s="216"/>
      <c r="DJ233" s="216"/>
      <c r="DK233" s="216"/>
      <c r="DL233" s="216"/>
      <c r="DM233" s="216"/>
      <c r="DN233" s="216"/>
      <c r="DO233" s="216"/>
      <c r="DP233" s="216"/>
      <c r="DQ233" s="216"/>
      <c r="DR233" s="216"/>
      <c r="DS233" s="216"/>
      <c r="DT233" s="216"/>
      <c r="DU233" s="216"/>
      <c r="DV233" s="216"/>
      <c r="DW233" s="216"/>
      <c r="DX233" s="216"/>
      <c r="DY233" s="216"/>
      <c r="DZ233" s="216"/>
      <c r="EA233" s="216"/>
      <c r="EB233" s="216"/>
      <c r="EC233" s="216"/>
      <c r="ED233" s="216"/>
      <c r="EE233" s="216"/>
      <c r="EF233" s="216"/>
      <c r="EG233" s="216"/>
      <c r="EH233" s="216"/>
      <c r="EI233" s="216"/>
      <c r="EJ233" s="216"/>
      <c r="EK233" s="216"/>
      <c r="EL233" s="216"/>
      <c r="EM233" s="216"/>
      <c r="EN233" s="216"/>
      <c r="EO233" s="216"/>
      <c r="EP233" s="216"/>
      <c r="EQ233" s="216"/>
      <c r="ER233" s="216"/>
      <c r="ES233" s="216"/>
      <c r="ET233" s="216"/>
      <c r="EU233" s="216"/>
      <c r="EV233" s="216"/>
      <c r="EW233" s="216"/>
      <c r="EX233" s="216"/>
      <c r="EY233" s="216"/>
      <c r="EZ233" s="216"/>
      <c r="FA233" s="216"/>
      <c r="FB233" s="216"/>
      <c r="FC233" s="216"/>
      <c r="FD233" s="216"/>
      <c r="FE233" s="216"/>
      <c r="FF233" s="216"/>
      <c r="FG233" s="216"/>
      <c r="FH233" s="216"/>
      <c r="FI233" s="216"/>
      <c r="FJ233" s="216"/>
      <c r="FK233" s="216"/>
      <c r="FL233" s="216"/>
      <c r="FM233" s="216"/>
      <c r="FN233" s="216"/>
      <c r="FO233" s="216"/>
      <c r="FP233" s="216"/>
      <c r="FQ233" s="216"/>
      <c r="FR233" s="216"/>
      <c r="FS233" s="216"/>
      <c r="FT233" s="216"/>
      <c r="FU233" s="216"/>
      <c r="FV233" s="216"/>
      <c r="FW233" s="216"/>
      <c r="FX233" s="216"/>
      <c r="FY233" s="216"/>
      <c r="FZ233" s="216"/>
      <c r="GA233" s="216"/>
      <c r="GB233" s="216"/>
      <c r="GC233" s="216"/>
      <c r="GD233" s="216"/>
      <c r="GE233" s="216"/>
      <c r="GF233" s="216"/>
      <c r="GG233" s="216"/>
      <c r="GH233" s="216"/>
      <c r="GI233" s="216"/>
      <c r="GJ233" s="216"/>
      <c r="GK233" s="216"/>
      <c r="GL233" s="216"/>
      <c r="GM233" s="216"/>
      <c r="GN233" s="216"/>
      <c r="GO233" s="216"/>
      <c r="GP233" s="216"/>
      <c r="GQ233" s="216"/>
      <c r="GR233" s="216"/>
      <c r="GS233" s="216"/>
      <c r="GT233" s="216"/>
      <c r="GU233" s="216"/>
      <c r="GV233" s="216"/>
      <c r="GW233" s="216"/>
      <c r="GX233" s="216"/>
      <c r="GY233" s="216"/>
      <c r="GZ233" s="216"/>
      <c r="HA233" s="216"/>
      <c r="HB233" s="216"/>
      <c r="HC233" s="216"/>
      <c r="HD233" s="216"/>
      <c r="HE233" s="216"/>
      <c r="HF233" s="216"/>
      <c r="HG233" s="216"/>
      <c r="HH233" s="216"/>
      <c r="HI233" s="216"/>
      <c r="HJ233" s="216"/>
      <c r="HK233" s="216"/>
      <c r="HL233" s="216"/>
      <c r="HM233" s="216"/>
      <c r="HN233" s="216"/>
      <c r="HO233" s="216"/>
      <c r="HP233" s="216"/>
      <c r="HQ233" s="216"/>
      <c r="HR233" s="216"/>
      <c r="HS233" s="216"/>
      <c r="HT233" s="216"/>
      <c r="HU233" s="216"/>
      <c r="HV233" s="216"/>
      <c r="HW233" s="216"/>
      <c r="HX233" s="216"/>
      <c r="HY233" s="216"/>
      <c r="HZ233" s="216"/>
      <c r="IA233" s="216"/>
      <c r="IB233" s="216"/>
      <c r="IC233" s="216"/>
      <c r="ID233" s="216"/>
      <c r="IE233" s="216"/>
      <c r="IF233" s="216"/>
      <c r="IG233" s="216"/>
      <c r="IH233" s="216"/>
      <c r="II233" s="216"/>
      <c r="IJ233" s="216"/>
      <c r="IK233" s="216"/>
      <c r="IL233" s="216"/>
      <c r="IM233" s="216"/>
      <c r="IN233" s="216"/>
      <c r="IO233" s="216"/>
      <c r="IP233" s="216"/>
      <c r="IQ233" s="216"/>
      <c r="IR233" s="216"/>
      <c r="IS233" s="216"/>
      <c r="IT233" s="216"/>
      <c r="IU233" s="216"/>
    </row>
    <row r="234" spans="1:255" s="221" customFormat="1" ht="62.4" x14ac:dyDescent="0.4">
      <c r="A234" s="539"/>
      <c r="B234" s="235" t="s">
        <v>735</v>
      </c>
      <c r="C234" s="460" t="s">
        <v>736</v>
      </c>
      <c r="D234" s="236">
        <v>42628</v>
      </c>
      <c r="E234" s="231" t="s">
        <v>737</v>
      </c>
      <c r="F234" s="232" t="s">
        <v>738</v>
      </c>
      <c r="G234" s="233" t="s">
        <v>678</v>
      </c>
      <c r="H234" s="234">
        <v>1200000</v>
      </c>
      <c r="I234" s="259">
        <v>0</v>
      </c>
      <c r="J234" s="234">
        <v>0</v>
      </c>
      <c r="K234" s="368">
        <f>SUM(H234:J234)</f>
        <v>1200000</v>
      </c>
      <c r="L234" s="369">
        <v>0</v>
      </c>
      <c r="M234" s="369">
        <f t="shared" si="22"/>
        <v>1200000</v>
      </c>
      <c r="N234" s="369">
        <v>0</v>
      </c>
      <c r="O234" s="369">
        <v>0</v>
      </c>
      <c r="P234" s="369">
        <f t="shared" si="23"/>
        <v>1200000</v>
      </c>
      <c r="Q234" s="218"/>
      <c r="R234" s="218"/>
      <c r="S234" s="218"/>
      <c r="T234" s="218"/>
      <c r="U234" s="218"/>
      <c r="V234" s="218"/>
      <c r="W234" s="218"/>
      <c r="X234" s="218"/>
      <c r="Y234" s="218"/>
      <c r="Z234" s="218"/>
      <c r="AA234" s="218"/>
      <c r="AB234" s="218"/>
      <c r="AC234" s="218"/>
      <c r="AD234" s="218"/>
      <c r="AE234" s="218"/>
      <c r="AF234" s="218"/>
      <c r="AG234" s="218"/>
      <c r="AH234" s="218"/>
      <c r="AI234" s="216"/>
      <c r="AJ234" s="216"/>
      <c r="AK234" s="216"/>
      <c r="AL234" s="216"/>
      <c r="AM234" s="216"/>
      <c r="AN234" s="216"/>
      <c r="AO234" s="216"/>
      <c r="AP234" s="216"/>
      <c r="AQ234" s="216"/>
      <c r="AR234" s="216"/>
      <c r="AS234" s="216"/>
      <c r="AT234" s="216"/>
      <c r="AU234" s="216"/>
      <c r="AV234" s="216"/>
      <c r="AW234" s="216"/>
      <c r="AX234" s="216"/>
      <c r="AY234" s="216"/>
      <c r="AZ234" s="216"/>
      <c r="BA234" s="216"/>
      <c r="BB234" s="216"/>
      <c r="BC234" s="216"/>
      <c r="BD234" s="216"/>
      <c r="BE234" s="216"/>
      <c r="BF234" s="216"/>
      <c r="BG234" s="216"/>
      <c r="BH234" s="216"/>
      <c r="BI234" s="216"/>
      <c r="BJ234" s="216"/>
      <c r="BK234" s="216"/>
      <c r="BL234" s="216"/>
      <c r="BM234" s="216"/>
      <c r="BN234" s="216"/>
      <c r="BO234" s="216"/>
      <c r="BP234" s="216"/>
      <c r="BQ234" s="216"/>
      <c r="BR234" s="216"/>
      <c r="BS234" s="216"/>
      <c r="BT234" s="216"/>
      <c r="BU234" s="216"/>
      <c r="BV234" s="216"/>
      <c r="BW234" s="216"/>
      <c r="BX234" s="216"/>
      <c r="BY234" s="216"/>
      <c r="BZ234" s="216"/>
      <c r="CA234" s="216"/>
      <c r="CB234" s="216"/>
      <c r="CC234" s="216"/>
      <c r="CD234" s="216"/>
      <c r="CE234" s="216"/>
      <c r="CF234" s="216"/>
      <c r="CG234" s="216"/>
      <c r="CH234" s="216"/>
      <c r="CI234" s="216"/>
      <c r="CJ234" s="216"/>
      <c r="CK234" s="216"/>
      <c r="CL234" s="216"/>
      <c r="CM234" s="216"/>
      <c r="CN234" s="216"/>
      <c r="CO234" s="216"/>
      <c r="CP234" s="216"/>
      <c r="CQ234" s="216"/>
      <c r="CR234" s="216"/>
      <c r="CS234" s="216"/>
      <c r="CT234" s="216"/>
      <c r="CU234" s="216"/>
      <c r="CV234" s="216"/>
      <c r="CW234" s="216"/>
      <c r="CX234" s="216"/>
      <c r="CY234" s="216"/>
      <c r="CZ234" s="216"/>
      <c r="DA234" s="216"/>
      <c r="DB234" s="216"/>
      <c r="DC234" s="216"/>
      <c r="DD234" s="216"/>
      <c r="DE234" s="216"/>
      <c r="DF234" s="216"/>
      <c r="DG234" s="216"/>
      <c r="DH234" s="216"/>
      <c r="DI234" s="216"/>
      <c r="DJ234" s="216"/>
      <c r="DK234" s="216"/>
      <c r="DL234" s="216"/>
      <c r="DM234" s="216"/>
      <c r="DN234" s="216"/>
      <c r="DO234" s="216"/>
      <c r="DP234" s="216"/>
      <c r="DQ234" s="216"/>
      <c r="DR234" s="216"/>
      <c r="DS234" s="216"/>
      <c r="DT234" s="216"/>
      <c r="DU234" s="216"/>
      <c r="DV234" s="216"/>
      <c r="DW234" s="216"/>
      <c r="DX234" s="216"/>
      <c r="DY234" s="216"/>
      <c r="DZ234" s="216"/>
      <c r="EA234" s="216"/>
      <c r="EB234" s="216"/>
      <c r="EC234" s="216"/>
      <c r="ED234" s="216"/>
      <c r="EE234" s="216"/>
      <c r="EF234" s="216"/>
      <c r="EG234" s="216"/>
      <c r="EH234" s="216"/>
      <c r="EI234" s="216"/>
      <c r="EJ234" s="216"/>
      <c r="EK234" s="216"/>
      <c r="EL234" s="216"/>
      <c r="EM234" s="216"/>
      <c r="EN234" s="216"/>
      <c r="EO234" s="216"/>
      <c r="EP234" s="216"/>
      <c r="EQ234" s="216"/>
      <c r="ER234" s="216"/>
      <c r="ES234" s="216"/>
      <c r="ET234" s="216"/>
      <c r="EU234" s="216"/>
      <c r="EV234" s="216"/>
      <c r="EW234" s="216"/>
      <c r="EX234" s="216"/>
      <c r="EY234" s="216"/>
      <c r="EZ234" s="216"/>
      <c r="FA234" s="216"/>
      <c r="FB234" s="216"/>
      <c r="FC234" s="216"/>
      <c r="FD234" s="216"/>
      <c r="FE234" s="216"/>
      <c r="FF234" s="216"/>
      <c r="FG234" s="216"/>
      <c r="FH234" s="216"/>
      <c r="FI234" s="216"/>
      <c r="FJ234" s="216"/>
      <c r="FK234" s="216"/>
      <c r="FL234" s="216"/>
      <c r="FM234" s="216"/>
      <c r="FN234" s="216"/>
      <c r="FO234" s="216"/>
      <c r="FP234" s="216"/>
      <c r="FQ234" s="216"/>
      <c r="FR234" s="216"/>
      <c r="FS234" s="216"/>
      <c r="FT234" s="216"/>
      <c r="FU234" s="216"/>
      <c r="FV234" s="216"/>
      <c r="FW234" s="216"/>
      <c r="FX234" s="216"/>
      <c r="FY234" s="216"/>
      <c r="FZ234" s="216"/>
      <c r="GA234" s="216"/>
      <c r="GB234" s="216"/>
      <c r="GC234" s="216"/>
      <c r="GD234" s="216"/>
      <c r="GE234" s="216"/>
      <c r="GF234" s="216"/>
      <c r="GG234" s="216"/>
      <c r="GH234" s="216"/>
      <c r="GI234" s="216"/>
      <c r="GJ234" s="216"/>
      <c r="GK234" s="216"/>
      <c r="GL234" s="216"/>
      <c r="GM234" s="216"/>
      <c r="GN234" s="216"/>
      <c r="GO234" s="216"/>
      <c r="GP234" s="216"/>
      <c r="GQ234" s="216"/>
      <c r="GR234" s="216"/>
      <c r="GS234" s="216"/>
      <c r="GT234" s="216"/>
      <c r="GU234" s="216"/>
      <c r="GV234" s="216"/>
      <c r="GW234" s="216"/>
      <c r="GX234" s="216"/>
      <c r="GY234" s="216"/>
      <c r="GZ234" s="216"/>
      <c r="HA234" s="216"/>
      <c r="HB234" s="216"/>
      <c r="HC234" s="216"/>
      <c r="HD234" s="216"/>
      <c r="HE234" s="216"/>
      <c r="HF234" s="216"/>
      <c r="HG234" s="216"/>
      <c r="HH234" s="216"/>
      <c r="HI234" s="216"/>
      <c r="HJ234" s="216"/>
      <c r="HK234" s="216"/>
      <c r="HL234" s="216"/>
      <c r="HM234" s="216"/>
      <c r="HN234" s="216"/>
      <c r="HO234" s="216"/>
      <c r="HP234" s="216"/>
      <c r="HQ234" s="216"/>
      <c r="HR234" s="216"/>
      <c r="HS234" s="216"/>
      <c r="HT234" s="216"/>
      <c r="HU234" s="216"/>
      <c r="HV234" s="216"/>
      <c r="HW234" s="216"/>
      <c r="HX234" s="216"/>
      <c r="HY234" s="216"/>
      <c r="HZ234" s="216"/>
      <c r="IA234" s="216"/>
      <c r="IB234" s="216"/>
      <c r="IC234" s="216"/>
      <c r="ID234" s="216"/>
      <c r="IE234" s="216"/>
      <c r="IF234" s="216"/>
      <c r="IG234" s="216"/>
      <c r="IH234" s="216"/>
      <c r="II234" s="216"/>
      <c r="IJ234" s="216"/>
      <c r="IK234" s="216"/>
      <c r="IL234" s="216"/>
      <c r="IM234" s="216"/>
      <c r="IN234" s="216"/>
      <c r="IO234" s="216"/>
      <c r="IP234" s="216"/>
      <c r="IQ234" s="216"/>
      <c r="IR234" s="216"/>
      <c r="IS234" s="216"/>
      <c r="IT234" s="216"/>
      <c r="IU234" s="216"/>
    </row>
    <row r="235" spans="1:255" s="221" customFormat="1" ht="93.6" x14ac:dyDescent="0.3">
      <c r="A235" s="539"/>
      <c r="B235" s="235" t="s">
        <v>739</v>
      </c>
      <c r="C235" s="256" t="s">
        <v>740</v>
      </c>
      <c r="D235" s="230" t="s">
        <v>695</v>
      </c>
      <c r="E235" s="231" t="s">
        <v>741</v>
      </c>
      <c r="F235" s="232" t="s">
        <v>742</v>
      </c>
      <c r="G235" s="233" t="s">
        <v>743</v>
      </c>
      <c r="H235" s="234">
        <v>2492300</v>
      </c>
      <c r="I235" s="258">
        <v>16000000</v>
      </c>
      <c r="J235" s="234">
        <v>-10492300</v>
      </c>
      <c r="K235" s="368">
        <f>SUM(H235:J235)+1000000</f>
        <v>9000000</v>
      </c>
      <c r="L235" s="369">
        <v>6072900</v>
      </c>
      <c r="M235" s="369">
        <f t="shared" si="22"/>
        <v>2927100</v>
      </c>
      <c r="N235" s="369">
        <v>-1200000</v>
      </c>
      <c r="O235" s="369">
        <v>6072900</v>
      </c>
      <c r="P235" s="369">
        <f t="shared" si="23"/>
        <v>7800000</v>
      </c>
      <c r="Q235" s="218"/>
      <c r="R235" s="218"/>
      <c r="S235" s="218"/>
      <c r="T235" s="218"/>
      <c r="U235" s="218"/>
      <c r="V235" s="218"/>
      <c r="W235" s="218"/>
      <c r="X235" s="218"/>
      <c r="Y235" s="218"/>
      <c r="Z235" s="218"/>
      <c r="AA235" s="218"/>
      <c r="AB235" s="218"/>
      <c r="AC235" s="218"/>
      <c r="AD235" s="218"/>
      <c r="AE235" s="218"/>
      <c r="AF235" s="218"/>
      <c r="AG235" s="218"/>
      <c r="AH235" s="218"/>
      <c r="AI235" s="216"/>
      <c r="AJ235" s="216"/>
      <c r="AK235" s="216"/>
      <c r="AL235" s="216"/>
      <c r="AM235" s="216"/>
      <c r="AN235" s="216"/>
      <c r="AO235" s="216"/>
      <c r="AP235" s="216"/>
      <c r="AQ235" s="216"/>
      <c r="AR235" s="216"/>
      <c r="AS235" s="216"/>
      <c r="AT235" s="216"/>
      <c r="AU235" s="216"/>
      <c r="AV235" s="216"/>
      <c r="AW235" s="216"/>
      <c r="AX235" s="216"/>
      <c r="AY235" s="216"/>
      <c r="AZ235" s="216"/>
      <c r="BA235" s="216"/>
      <c r="BB235" s="216"/>
      <c r="BC235" s="216"/>
      <c r="BD235" s="216"/>
      <c r="BE235" s="216"/>
      <c r="BF235" s="216"/>
      <c r="BG235" s="216"/>
      <c r="BH235" s="216"/>
      <c r="BI235" s="216"/>
      <c r="BJ235" s="216"/>
      <c r="BK235" s="216"/>
      <c r="BL235" s="216"/>
      <c r="BM235" s="216"/>
      <c r="BN235" s="216"/>
      <c r="BO235" s="216"/>
      <c r="BP235" s="216"/>
      <c r="BQ235" s="216"/>
      <c r="BR235" s="216"/>
      <c r="BS235" s="216"/>
      <c r="BT235" s="216"/>
      <c r="BU235" s="216"/>
      <c r="BV235" s="216"/>
      <c r="BW235" s="216"/>
      <c r="BX235" s="216"/>
      <c r="BY235" s="216"/>
      <c r="BZ235" s="216"/>
      <c r="CA235" s="216"/>
      <c r="CB235" s="216"/>
      <c r="CC235" s="216"/>
      <c r="CD235" s="216"/>
      <c r="CE235" s="216"/>
      <c r="CF235" s="216"/>
      <c r="CG235" s="216"/>
      <c r="CH235" s="216"/>
      <c r="CI235" s="216"/>
      <c r="CJ235" s="216"/>
      <c r="CK235" s="216"/>
      <c r="CL235" s="216"/>
      <c r="CM235" s="216"/>
      <c r="CN235" s="216"/>
      <c r="CO235" s="216"/>
      <c r="CP235" s="216"/>
      <c r="CQ235" s="216"/>
      <c r="CR235" s="216"/>
      <c r="CS235" s="216"/>
      <c r="CT235" s="216"/>
      <c r="CU235" s="216"/>
      <c r="CV235" s="216"/>
      <c r="CW235" s="216"/>
      <c r="CX235" s="216"/>
      <c r="CY235" s="216"/>
      <c r="CZ235" s="216"/>
      <c r="DA235" s="216"/>
      <c r="DB235" s="216"/>
      <c r="DC235" s="216"/>
      <c r="DD235" s="216"/>
      <c r="DE235" s="216"/>
      <c r="DF235" s="216"/>
      <c r="DG235" s="216"/>
      <c r="DH235" s="216"/>
      <c r="DI235" s="216"/>
      <c r="DJ235" s="216"/>
      <c r="DK235" s="216"/>
      <c r="DL235" s="216"/>
      <c r="DM235" s="216"/>
      <c r="DN235" s="216"/>
      <c r="DO235" s="216"/>
      <c r="DP235" s="216"/>
      <c r="DQ235" s="216"/>
      <c r="DR235" s="216"/>
      <c r="DS235" s="216"/>
      <c r="DT235" s="216"/>
      <c r="DU235" s="216"/>
      <c r="DV235" s="216"/>
      <c r="DW235" s="216"/>
      <c r="DX235" s="216"/>
      <c r="DY235" s="216"/>
      <c r="DZ235" s="216"/>
      <c r="EA235" s="216"/>
      <c r="EB235" s="216"/>
      <c r="EC235" s="216"/>
      <c r="ED235" s="216"/>
      <c r="EE235" s="216"/>
      <c r="EF235" s="216"/>
      <c r="EG235" s="216"/>
      <c r="EH235" s="216"/>
      <c r="EI235" s="216"/>
      <c r="EJ235" s="216"/>
      <c r="EK235" s="216"/>
      <c r="EL235" s="216"/>
      <c r="EM235" s="216"/>
      <c r="EN235" s="216"/>
      <c r="EO235" s="216"/>
      <c r="EP235" s="216"/>
      <c r="EQ235" s="216"/>
      <c r="ER235" s="216"/>
      <c r="ES235" s="216"/>
      <c r="ET235" s="216"/>
      <c r="EU235" s="216"/>
      <c r="EV235" s="216"/>
      <c r="EW235" s="216"/>
      <c r="EX235" s="216"/>
      <c r="EY235" s="216"/>
      <c r="EZ235" s="216"/>
      <c r="FA235" s="216"/>
      <c r="FB235" s="216"/>
      <c r="FC235" s="216"/>
      <c r="FD235" s="216"/>
      <c r="FE235" s="216"/>
      <c r="FF235" s="216"/>
      <c r="FG235" s="216"/>
      <c r="FH235" s="216"/>
      <c r="FI235" s="216"/>
      <c r="FJ235" s="216"/>
      <c r="FK235" s="216"/>
      <c r="FL235" s="216"/>
      <c r="FM235" s="216"/>
      <c r="FN235" s="216"/>
      <c r="FO235" s="216"/>
      <c r="FP235" s="216"/>
      <c r="FQ235" s="216"/>
      <c r="FR235" s="216"/>
      <c r="FS235" s="216"/>
      <c r="FT235" s="216"/>
      <c r="FU235" s="216"/>
      <c r="FV235" s="216"/>
      <c r="FW235" s="216"/>
      <c r="FX235" s="216"/>
      <c r="FY235" s="216"/>
      <c r="FZ235" s="216"/>
      <c r="GA235" s="216"/>
      <c r="GB235" s="216"/>
      <c r="GC235" s="216"/>
      <c r="GD235" s="216"/>
      <c r="GE235" s="216"/>
      <c r="GF235" s="216"/>
      <c r="GG235" s="216"/>
      <c r="GH235" s="216"/>
      <c r="GI235" s="216"/>
      <c r="GJ235" s="216"/>
      <c r="GK235" s="216"/>
      <c r="GL235" s="216"/>
      <c r="GM235" s="216"/>
      <c r="GN235" s="216"/>
      <c r="GO235" s="216"/>
      <c r="GP235" s="216"/>
      <c r="GQ235" s="216"/>
      <c r="GR235" s="216"/>
      <c r="GS235" s="216"/>
      <c r="GT235" s="216"/>
      <c r="GU235" s="216"/>
      <c r="GV235" s="216"/>
      <c r="GW235" s="216"/>
      <c r="GX235" s="216"/>
      <c r="GY235" s="216"/>
      <c r="GZ235" s="216"/>
      <c r="HA235" s="216"/>
      <c r="HB235" s="216"/>
      <c r="HC235" s="216"/>
      <c r="HD235" s="216"/>
      <c r="HE235" s="216"/>
      <c r="HF235" s="216"/>
      <c r="HG235" s="216"/>
      <c r="HH235" s="216"/>
      <c r="HI235" s="216"/>
      <c r="HJ235" s="216"/>
      <c r="HK235" s="216"/>
      <c r="HL235" s="216"/>
      <c r="HM235" s="216"/>
      <c r="HN235" s="216"/>
      <c r="HO235" s="216"/>
      <c r="HP235" s="216"/>
      <c r="HQ235" s="216"/>
      <c r="HR235" s="216"/>
      <c r="HS235" s="216"/>
      <c r="HT235" s="216"/>
      <c r="HU235" s="216"/>
      <c r="HV235" s="216"/>
      <c r="HW235" s="216"/>
      <c r="HX235" s="216"/>
      <c r="HY235" s="216"/>
      <c r="HZ235" s="216"/>
      <c r="IA235" s="216"/>
      <c r="IB235" s="216"/>
      <c r="IC235" s="216"/>
      <c r="ID235" s="216"/>
      <c r="IE235" s="216"/>
      <c r="IF235" s="216"/>
      <c r="IG235" s="216"/>
      <c r="IH235" s="216"/>
      <c r="II235" s="216"/>
      <c r="IJ235" s="216"/>
      <c r="IK235" s="216"/>
      <c r="IL235" s="216"/>
      <c r="IM235" s="216"/>
      <c r="IN235" s="216"/>
      <c r="IO235" s="216"/>
      <c r="IP235" s="216"/>
      <c r="IQ235" s="216"/>
      <c r="IR235" s="216"/>
      <c r="IS235" s="216"/>
      <c r="IT235" s="216"/>
      <c r="IU235" s="216"/>
    </row>
    <row r="236" spans="1:255" s="221" customFormat="1" ht="31.2" x14ac:dyDescent="0.4">
      <c r="A236" s="539"/>
      <c r="B236" s="235" t="s">
        <v>744</v>
      </c>
      <c r="C236" s="256" t="s">
        <v>745</v>
      </c>
      <c r="D236" s="233" t="s">
        <v>746</v>
      </c>
      <c r="E236" s="232" t="s">
        <v>747</v>
      </c>
      <c r="F236" s="232" t="s">
        <v>748</v>
      </c>
      <c r="G236" s="233" t="s">
        <v>749</v>
      </c>
      <c r="H236" s="234">
        <v>1696756</v>
      </c>
      <c r="I236" s="259">
        <v>0</v>
      </c>
      <c r="J236" s="234">
        <v>-196756</v>
      </c>
      <c r="K236" s="368">
        <f t="shared" ref="K236:K242" si="24">SUM(H236:J236)</f>
        <v>1500000</v>
      </c>
      <c r="L236" s="369">
        <v>883089</v>
      </c>
      <c r="M236" s="369">
        <f t="shared" si="22"/>
        <v>616911</v>
      </c>
      <c r="N236" s="369">
        <v>0</v>
      </c>
      <c r="O236" s="369">
        <v>1900000</v>
      </c>
      <c r="P236" s="369">
        <f t="shared" si="23"/>
        <v>2516911</v>
      </c>
      <c r="Q236" s="218"/>
      <c r="R236" s="218"/>
      <c r="S236" s="218"/>
      <c r="T236" s="218"/>
      <c r="U236" s="218"/>
      <c r="V236" s="218"/>
      <c r="W236" s="218"/>
      <c r="X236" s="218"/>
      <c r="Y236" s="218"/>
      <c r="Z236" s="218"/>
      <c r="AA236" s="218"/>
      <c r="AB236" s="218"/>
      <c r="AC236" s="218"/>
      <c r="AD236" s="218"/>
      <c r="AE236" s="218"/>
      <c r="AF236" s="218"/>
      <c r="AG236" s="218"/>
      <c r="AH236" s="218"/>
      <c r="AI236" s="216"/>
      <c r="AJ236" s="216"/>
      <c r="AK236" s="216"/>
      <c r="AL236" s="216"/>
      <c r="AM236" s="216"/>
      <c r="AN236" s="216"/>
      <c r="AO236" s="216"/>
      <c r="AP236" s="216"/>
      <c r="AQ236" s="216"/>
      <c r="AR236" s="216"/>
      <c r="AS236" s="216"/>
      <c r="AT236" s="216"/>
      <c r="AU236" s="216"/>
      <c r="AV236" s="216"/>
      <c r="AW236" s="216"/>
      <c r="AX236" s="216"/>
      <c r="AY236" s="216"/>
      <c r="AZ236" s="216"/>
      <c r="BA236" s="216"/>
      <c r="BB236" s="216"/>
      <c r="BC236" s="216"/>
      <c r="BD236" s="216"/>
      <c r="BE236" s="216"/>
      <c r="BF236" s="216"/>
      <c r="BG236" s="216"/>
      <c r="BH236" s="216"/>
      <c r="BI236" s="216"/>
      <c r="BJ236" s="216"/>
      <c r="BK236" s="216"/>
      <c r="BL236" s="216"/>
      <c r="BM236" s="216"/>
      <c r="BN236" s="216"/>
      <c r="BO236" s="216"/>
      <c r="BP236" s="216"/>
      <c r="BQ236" s="216"/>
      <c r="BR236" s="216"/>
      <c r="BS236" s="216"/>
      <c r="BT236" s="216"/>
      <c r="BU236" s="216"/>
      <c r="BV236" s="216"/>
      <c r="BW236" s="216"/>
      <c r="BX236" s="216"/>
      <c r="BY236" s="216"/>
      <c r="BZ236" s="216"/>
      <c r="CA236" s="216"/>
      <c r="CB236" s="216"/>
      <c r="CC236" s="216"/>
      <c r="CD236" s="216"/>
      <c r="CE236" s="216"/>
      <c r="CF236" s="216"/>
      <c r="CG236" s="216"/>
      <c r="CH236" s="216"/>
      <c r="CI236" s="216"/>
      <c r="CJ236" s="216"/>
      <c r="CK236" s="216"/>
      <c r="CL236" s="216"/>
      <c r="CM236" s="216"/>
      <c r="CN236" s="216"/>
      <c r="CO236" s="216"/>
      <c r="CP236" s="216"/>
      <c r="CQ236" s="216"/>
      <c r="CR236" s="216"/>
      <c r="CS236" s="216"/>
      <c r="CT236" s="216"/>
      <c r="CU236" s="216"/>
      <c r="CV236" s="216"/>
      <c r="CW236" s="216"/>
      <c r="CX236" s="216"/>
      <c r="CY236" s="216"/>
      <c r="CZ236" s="216"/>
      <c r="DA236" s="216"/>
      <c r="DB236" s="216"/>
      <c r="DC236" s="216"/>
      <c r="DD236" s="216"/>
      <c r="DE236" s="216"/>
      <c r="DF236" s="216"/>
      <c r="DG236" s="216"/>
      <c r="DH236" s="216"/>
      <c r="DI236" s="216"/>
      <c r="DJ236" s="216"/>
      <c r="DK236" s="216"/>
      <c r="DL236" s="216"/>
      <c r="DM236" s="216"/>
      <c r="DN236" s="216"/>
      <c r="DO236" s="216"/>
      <c r="DP236" s="216"/>
      <c r="DQ236" s="216"/>
      <c r="DR236" s="216"/>
      <c r="DS236" s="216"/>
      <c r="DT236" s="216"/>
      <c r="DU236" s="216"/>
      <c r="DV236" s="216"/>
      <c r="DW236" s="216"/>
      <c r="DX236" s="216"/>
      <c r="DY236" s="216"/>
      <c r="DZ236" s="216"/>
      <c r="EA236" s="216"/>
      <c r="EB236" s="216"/>
      <c r="EC236" s="216"/>
      <c r="ED236" s="216"/>
      <c r="EE236" s="216"/>
      <c r="EF236" s="216"/>
      <c r="EG236" s="216"/>
      <c r="EH236" s="216"/>
      <c r="EI236" s="216"/>
      <c r="EJ236" s="216"/>
      <c r="EK236" s="216"/>
      <c r="EL236" s="216"/>
      <c r="EM236" s="216"/>
      <c r="EN236" s="216"/>
      <c r="EO236" s="216"/>
      <c r="EP236" s="216"/>
      <c r="EQ236" s="216"/>
      <c r="ER236" s="216"/>
      <c r="ES236" s="216"/>
      <c r="ET236" s="216"/>
      <c r="EU236" s="216"/>
      <c r="EV236" s="216"/>
      <c r="EW236" s="216"/>
      <c r="EX236" s="216"/>
      <c r="EY236" s="216"/>
      <c r="EZ236" s="216"/>
      <c r="FA236" s="216"/>
      <c r="FB236" s="216"/>
      <c r="FC236" s="216"/>
      <c r="FD236" s="216"/>
      <c r="FE236" s="216"/>
      <c r="FF236" s="216"/>
      <c r="FG236" s="216"/>
      <c r="FH236" s="216"/>
      <c r="FI236" s="216"/>
      <c r="FJ236" s="216"/>
      <c r="FK236" s="216"/>
      <c r="FL236" s="216"/>
      <c r="FM236" s="216"/>
      <c r="FN236" s="216"/>
      <c r="FO236" s="216"/>
      <c r="FP236" s="216"/>
      <c r="FQ236" s="216"/>
      <c r="FR236" s="216"/>
      <c r="FS236" s="216"/>
      <c r="FT236" s="216"/>
      <c r="FU236" s="216"/>
      <c r="FV236" s="216"/>
      <c r="FW236" s="216"/>
      <c r="FX236" s="216"/>
      <c r="FY236" s="216"/>
      <c r="FZ236" s="216"/>
      <c r="GA236" s="216"/>
      <c r="GB236" s="216"/>
      <c r="GC236" s="216"/>
      <c r="GD236" s="216"/>
      <c r="GE236" s="216"/>
      <c r="GF236" s="216"/>
      <c r="GG236" s="216"/>
      <c r="GH236" s="216"/>
      <c r="GI236" s="216"/>
      <c r="GJ236" s="216"/>
      <c r="GK236" s="216"/>
      <c r="GL236" s="216"/>
      <c r="GM236" s="216"/>
      <c r="GN236" s="216"/>
      <c r="GO236" s="216"/>
      <c r="GP236" s="216"/>
      <c r="GQ236" s="216"/>
      <c r="GR236" s="216"/>
      <c r="GS236" s="216"/>
      <c r="GT236" s="216"/>
      <c r="GU236" s="216"/>
      <c r="GV236" s="216"/>
      <c r="GW236" s="216"/>
      <c r="GX236" s="216"/>
      <c r="GY236" s="216"/>
      <c r="GZ236" s="216"/>
      <c r="HA236" s="216"/>
      <c r="HB236" s="216"/>
      <c r="HC236" s="216"/>
      <c r="HD236" s="216"/>
      <c r="HE236" s="216"/>
      <c r="HF236" s="216"/>
      <c r="HG236" s="216"/>
      <c r="HH236" s="216"/>
      <c r="HI236" s="216"/>
      <c r="HJ236" s="216"/>
      <c r="HK236" s="216"/>
      <c r="HL236" s="216"/>
      <c r="HM236" s="216"/>
      <c r="HN236" s="216"/>
      <c r="HO236" s="216"/>
      <c r="HP236" s="216"/>
      <c r="HQ236" s="216"/>
      <c r="HR236" s="216"/>
      <c r="HS236" s="216"/>
      <c r="HT236" s="216"/>
      <c r="HU236" s="216"/>
      <c r="HV236" s="216"/>
      <c r="HW236" s="216"/>
      <c r="HX236" s="216"/>
      <c r="HY236" s="216"/>
      <c r="HZ236" s="216"/>
      <c r="IA236" s="216"/>
      <c r="IB236" s="216"/>
      <c r="IC236" s="216"/>
      <c r="ID236" s="216"/>
      <c r="IE236" s="216"/>
      <c r="IF236" s="216"/>
      <c r="IG236" s="216"/>
      <c r="IH236" s="216"/>
      <c r="II236" s="216"/>
      <c r="IJ236" s="216"/>
      <c r="IK236" s="216"/>
      <c r="IL236" s="216"/>
      <c r="IM236" s="216"/>
      <c r="IN236" s="216"/>
      <c r="IO236" s="216"/>
      <c r="IP236" s="216"/>
      <c r="IQ236" s="216"/>
      <c r="IR236" s="216"/>
      <c r="IS236" s="216"/>
      <c r="IT236" s="216"/>
      <c r="IU236" s="216"/>
    </row>
    <row r="237" spans="1:255" s="221" customFormat="1" ht="78" x14ac:dyDescent="0.4">
      <c r="A237" s="539"/>
      <c r="B237" s="235" t="s">
        <v>750</v>
      </c>
      <c r="C237" s="256" t="s">
        <v>751</v>
      </c>
      <c r="D237" s="233" t="s">
        <v>752</v>
      </c>
      <c r="E237" s="232" t="s">
        <v>753</v>
      </c>
      <c r="F237" s="232" t="s">
        <v>754</v>
      </c>
      <c r="G237" s="233" t="s">
        <v>697</v>
      </c>
      <c r="H237" s="234">
        <v>2114800</v>
      </c>
      <c r="I237" s="259">
        <v>0</v>
      </c>
      <c r="J237" s="234">
        <v>785200</v>
      </c>
      <c r="K237" s="368">
        <f t="shared" si="24"/>
        <v>2900000</v>
      </c>
      <c r="L237" s="369">
        <v>0</v>
      </c>
      <c r="M237" s="369">
        <f t="shared" si="22"/>
        <v>2900000</v>
      </c>
      <c r="N237" s="369">
        <v>-1000000</v>
      </c>
      <c r="O237" s="369">
        <v>1000000</v>
      </c>
      <c r="P237" s="369">
        <f>SUM(M237:O237)</f>
        <v>2900000</v>
      </c>
      <c r="Q237" s="218"/>
      <c r="R237" s="218"/>
      <c r="S237" s="218"/>
      <c r="T237" s="218"/>
      <c r="U237" s="218"/>
      <c r="V237" s="218"/>
      <c r="W237" s="218"/>
      <c r="X237" s="218"/>
      <c r="Y237" s="218"/>
      <c r="Z237" s="218"/>
      <c r="AA237" s="218"/>
      <c r="AB237" s="218"/>
      <c r="AC237" s="218"/>
      <c r="AD237" s="218"/>
      <c r="AE237" s="218"/>
      <c r="AF237" s="218"/>
      <c r="AG237" s="218"/>
      <c r="AH237" s="218"/>
      <c r="AI237" s="216"/>
      <c r="AJ237" s="216"/>
      <c r="AK237" s="216"/>
      <c r="AL237" s="216"/>
      <c r="AM237" s="216"/>
      <c r="AN237" s="216"/>
      <c r="AO237" s="216"/>
      <c r="AP237" s="216"/>
      <c r="AQ237" s="216"/>
      <c r="AR237" s="216"/>
      <c r="AS237" s="216"/>
      <c r="AT237" s="216"/>
      <c r="AU237" s="216"/>
      <c r="AV237" s="216"/>
      <c r="AW237" s="216"/>
      <c r="AX237" s="216"/>
      <c r="AY237" s="216"/>
      <c r="AZ237" s="216"/>
      <c r="BA237" s="216"/>
      <c r="BB237" s="216"/>
      <c r="BC237" s="216"/>
      <c r="BD237" s="216"/>
      <c r="BE237" s="216"/>
      <c r="BF237" s="216"/>
      <c r="BG237" s="216"/>
      <c r="BH237" s="216"/>
      <c r="BI237" s="216"/>
      <c r="BJ237" s="216"/>
      <c r="BK237" s="216"/>
      <c r="BL237" s="216"/>
      <c r="BM237" s="216"/>
      <c r="BN237" s="216"/>
      <c r="BO237" s="216"/>
      <c r="BP237" s="216"/>
      <c r="BQ237" s="216"/>
      <c r="BR237" s="216"/>
      <c r="BS237" s="216"/>
      <c r="BT237" s="216"/>
      <c r="BU237" s="216"/>
      <c r="BV237" s="216"/>
      <c r="BW237" s="216"/>
      <c r="BX237" s="216"/>
      <c r="BY237" s="216"/>
      <c r="BZ237" s="216"/>
      <c r="CA237" s="216"/>
      <c r="CB237" s="216"/>
      <c r="CC237" s="216"/>
      <c r="CD237" s="216"/>
      <c r="CE237" s="216"/>
      <c r="CF237" s="216"/>
      <c r="CG237" s="216"/>
      <c r="CH237" s="216"/>
      <c r="CI237" s="216"/>
      <c r="CJ237" s="216"/>
      <c r="CK237" s="216"/>
      <c r="CL237" s="216"/>
      <c r="CM237" s="216"/>
      <c r="CN237" s="216"/>
      <c r="CO237" s="216"/>
      <c r="CP237" s="216"/>
      <c r="CQ237" s="216"/>
      <c r="CR237" s="216"/>
      <c r="CS237" s="216"/>
      <c r="CT237" s="216"/>
      <c r="CU237" s="216"/>
      <c r="CV237" s="216"/>
      <c r="CW237" s="216"/>
      <c r="CX237" s="216"/>
      <c r="CY237" s="216"/>
      <c r="CZ237" s="216"/>
      <c r="DA237" s="216"/>
      <c r="DB237" s="216"/>
      <c r="DC237" s="216"/>
      <c r="DD237" s="216"/>
      <c r="DE237" s="216"/>
      <c r="DF237" s="216"/>
      <c r="DG237" s="216"/>
      <c r="DH237" s="216"/>
      <c r="DI237" s="216"/>
      <c r="DJ237" s="216"/>
      <c r="DK237" s="216"/>
      <c r="DL237" s="216"/>
      <c r="DM237" s="216"/>
      <c r="DN237" s="216"/>
      <c r="DO237" s="216"/>
      <c r="DP237" s="216"/>
      <c r="DQ237" s="216"/>
      <c r="DR237" s="216"/>
      <c r="DS237" s="216"/>
      <c r="DT237" s="216"/>
      <c r="DU237" s="216"/>
      <c r="DV237" s="216"/>
      <c r="DW237" s="216"/>
      <c r="DX237" s="216"/>
      <c r="DY237" s="216"/>
      <c r="DZ237" s="216"/>
      <c r="EA237" s="216"/>
      <c r="EB237" s="216"/>
      <c r="EC237" s="216"/>
      <c r="ED237" s="216"/>
      <c r="EE237" s="216"/>
      <c r="EF237" s="216"/>
      <c r="EG237" s="216"/>
      <c r="EH237" s="216"/>
      <c r="EI237" s="216"/>
      <c r="EJ237" s="216"/>
      <c r="EK237" s="216"/>
      <c r="EL237" s="216"/>
      <c r="EM237" s="216"/>
      <c r="EN237" s="216"/>
      <c r="EO237" s="216"/>
      <c r="EP237" s="216"/>
      <c r="EQ237" s="216"/>
      <c r="ER237" s="216"/>
      <c r="ES237" s="216"/>
      <c r="ET237" s="216"/>
      <c r="EU237" s="216"/>
      <c r="EV237" s="216"/>
      <c r="EW237" s="216"/>
      <c r="EX237" s="216"/>
      <c r="EY237" s="216"/>
      <c r="EZ237" s="216"/>
      <c r="FA237" s="216"/>
      <c r="FB237" s="216"/>
      <c r="FC237" s="216"/>
      <c r="FD237" s="216"/>
      <c r="FE237" s="216"/>
      <c r="FF237" s="216"/>
      <c r="FG237" s="216"/>
      <c r="FH237" s="216"/>
      <c r="FI237" s="216"/>
      <c r="FJ237" s="216"/>
      <c r="FK237" s="216"/>
      <c r="FL237" s="216"/>
      <c r="FM237" s="216"/>
      <c r="FN237" s="216"/>
      <c r="FO237" s="216"/>
      <c r="FP237" s="216"/>
      <c r="FQ237" s="216"/>
      <c r="FR237" s="216"/>
      <c r="FS237" s="216"/>
      <c r="FT237" s="216"/>
      <c r="FU237" s="216"/>
      <c r="FV237" s="216"/>
      <c r="FW237" s="216"/>
      <c r="FX237" s="216"/>
      <c r="FY237" s="216"/>
      <c r="FZ237" s="216"/>
      <c r="GA237" s="216"/>
      <c r="GB237" s="216"/>
      <c r="GC237" s="216"/>
      <c r="GD237" s="216"/>
      <c r="GE237" s="216"/>
      <c r="GF237" s="216"/>
      <c r="GG237" s="216"/>
      <c r="GH237" s="216"/>
      <c r="GI237" s="216"/>
      <c r="GJ237" s="216"/>
      <c r="GK237" s="216"/>
      <c r="GL237" s="216"/>
      <c r="GM237" s="216"/>
      <c r="GN237" s="216"/>
      <c r="GO237" s="216"/>
      <c r="GP237" s="216"/>
      <c r="GQ237" s="216"/>
      <c r="GR237" s="216"/>
      <c r="GS237" s="216"/>
      <c r="GT237" s="216"/>
      <c r="GU237" s="216"/>
      <c r="GV237" s="216"/>
      <c r="GW237" s="216"/>
      <c r="GX237" s="216"/>
      <c r="GY237" s="216"/>
      <c r="GZ237" s="216"/>
      <c r="HA237" s="216"/>
      <c r="HB237" s="216"/>
      <c r="HC237" s="216"/>
      <c r="HD237" s="216"/>
      <c r="HE237" s="216"/>
      <c r="HF237" s="216"/>
      <c r="HG237" s="216"/>
      <c r="HH237" s="216"/>
      <c r="HI237" s="216"/>
      <c r="HJ237" s="216"/>
      <c r="HK237" s="216"/>
      <c r="HL237" s="216"/>
      <c r="HM237" s="216"/>
      <c r="HN237" s="216"/>
      <c r="HO237" s="216"/>
      <c r="HP237" s="216"/>
      <c r="HQ237" s="216"/>
      <c r="HR237" s="216"/>
      <c r="HS237" s="216"/>
      <c r="HT237" s="216"/>
      <c r="HU237" s="216"/>
      <c r="HV237" s="216"/>
      <c r="HW237" s="216"/>
      <c r="HX237" s="216"/>
      <c r="HY237" s="216"/>
      <c r="HZ237" s="216"/>
      <c r="IA237" s="216"/>
      <c r="IB237" s="216"/>
      <c r="IC237" s="216"/>
      <c r="ID237" s="216"/>
      <c r="IE237" s="216"/>
      <c r="IF237" s="216"/>
      <c r="IG237" s="216"/>
      <c r="IH237" s="216"/>
      <c r="II237" s="216"/>
      <c r="IJ237" s="216"/>
      <c r="IK237" s="216"/>
      <c r="IL237" s="216"/>
      <c r="IM237" s="216"/>
      <c r="IN237" s="216"/>
      <c r="IO237" s="216"/>
      <c r="IP237" s="216"/>
      <c r="IQ237" s="216"/>
      <c r="IR237" s="216"/>
      <c r="IS237" s="216"/>
      <c r="IT237" s="216"/>
      <c r="IU237" s="216"/>
    </row>
    <row r="238" spans="1:255" s="221" customFormat="1" ht="46.8" x14ac:dyDescent="0.4">
      <c r="A238" s="539"/>
      <c r="B238" s="235" t="s">
        <v>755</v>
      </c>
      <c r="C238" s="256" t="s">
        <v>756</v>
      </c>
      <c r="D238" s="233" t="s">
        <v>605</v>
      </c>
      <c r="E238" s="232" t="s">
        <v>757</v>
      </c>
      <c r="F238" s="232" t="s">
        <v>758</v>
      </c>
      <c r="G238" s="233" t="s">
        <v>697</v>
      </c>
      <c r="H238" s="234">
        <v>1000000</v>
      </c>
      <c r="I238" s="259">
        <v>0</v>
      </c>
      <c r="J238" s="234">
        <v>0</v>
      </c>
      <c r="K238" s="368">
        <f t="shared" si="24"/>
        <v>1000000</v>
      </c>
      <c r="L238" s="369">
        <v>0</v>
      </c>
      <c r="M238" s="369">
        <f t="shared" si="22"/>
        <v>1000000</v>
      </c>
      <c r="N238" s="369">
        <v>0</v>
      </c>
      <c r="O238" s="369">
        <v>0</v>
      </c>
      <c r="P238" s="369">
        <f t="shared" si="23"/>
        <v>1000000</v>
      </c>
      <c r="Q238" s="218"/>
      <c r="R238" s="218"/>
      <c r="S238" s="218"/>
      <c r="T238" s="218"/>
      <c r="U238" s="218"/>
      <c r="V238" s="218"/>
      <c r="W238" s="218"/>
      <c r="X238" s="218"/>
      <c r="Y238" s="218"/>
      <c r="Z238" s="218"/>
      <c r="AA238" s="218"/>
      <c r="AB238" s="218"/>
      <c r="AC238" s="218"/>
      <c r="AD238" s="218"/>
      <c r="AE238" s="218"/>
      <c r="AF238" s="218"/>
      <c r="AG238" s="218"/>
      <c r="AH238" s="218"/>
      <c r="AI238" s="216"/>
      <c r="AJ238" s="216"/>
      <c r="AK238" s="216"/>
      <c r="AL238" s="216"/>
      <c r="AM238" s="216"/>
      <c r="AN238" s="216"/>
      <c r="AO238" s="216"/>
      <c r="AP238" s="216"/>
      <c r="AQ238" s="216"/>
      <c r="AR238" s="216"/>
      <c r="AS238" s="216"/>
      <c r="AT238" s="216"/>
      <c r="AU238" s="216"/>
      <c r="AV238" s="216"/>
      <c r="AW238" s="216"/>
      <c r="AX238" s="216"/>
      <c r="AY238" s="216"/>
      <c r="AZ238" s="216"/>
      <c r="BA238" s="216"/>
      <c r="BB238" s="216"/>
      <c r="BC238" s="216"/>
      <c r="BD238" s="216"/>
      <c r="BE238" s="216"/>
      <c r="BF238" s="216"/>
      <c r="BG238" s="216"/>
      <c r="BH238" s="216"/>
      <c r="BI238" s="216"/>
      <c r="BJ238" s="216"/>
      <c r="BK238" s="216"/>
      <c r="BL238" s="216"/>
      <c r="BM238" s="216"/>
      <c r="BN238" s="216"/>
      <c r="BO238" s="216"/>
      <c r="BP238" s="216"/>
      <c r="BQ238" s="216"/>
      <c r="BR238" s="216"/>
      <c r="BS238" s="216"/>
      <c r="BT238" s="216"/>
      <c r="BU238" s="216"/>
      <c r="BV238" s="216"/>
      <c r="BW238" s="216"/>
      <c r="BX238" s="216"/>
      <c r="BY238" s="216"/>
      <c r="BZ238" s="216"/>
      <c r="CA238" s="216"/>
      <c r="CB238" s="216"/>
      <c r="CC238" s="216"/>
      <c r="CD238" s="216"/>
      <c r="CE238" s="216"/>
      <c r="CF238" s="216"/>
      <c r="CG238" s="216"/>
      <c r="CH238" s="216"/>
      <c r="CI238" s="216"/>
      <c r="CJ238" s="216"/>
      <c r="CK238" s="216"/>
      <c r="CL238" s="216"/>
      <c r="CM238" s="216"/>
      <c r="CN238" s="216"/>
      <c r="CO238" s="216"/>
      <c r="CP238" s="216"/>
      <c r="CQ238" s="216"/>
      <c r="CR238" s="216"/>
      <c r="CS238" s="216"/>
      <c r="CT238" s="216"/>
      <c r="CU238" s="216"/>
      <c r="CV238" s="216"/>
      <c r="CW238" s="216"/>
      <c r="CX238" s="216"/>
      <c r="CY238" s="216"/>
      <c r="CZ238" s="216"/>
      <c r="DA238" s="216"/>
      <c r="DB238" s="216"/>
      <c r="DC238" s="216"/>
      <c r="DD238" s="216"/>
      <c r="DE238" s="216"/>
      <c r="DF238" s="216"/>
      <c r="DG238" s="216"/>
      <c r="DH238" s="216"/>
      <c r="DI238" s="216"/>
      <c r="DJ238" s="216"/>
      <c r="DK238" s="216"/>
      <c r="DL238" s="216"/>
      <c r="DM238" s="216"/>
      <c r="DN238" s="216"/>
      <c r="DO238" s="216"/>
      <c r="DP238" s="216"/>
      <c r="DQ238" s="216"/>
      <c r="DR238" s="216"/>
      <c r="DS238" s="216"/>
      <c r="DT238" s="216"/>
      <c r="DU238" s="216"/>
      <c r="DV238" s="216"/>
      <c r="DW238" s="216"/>
      <c r="DX238" s="216"/>
      <c r="DY238" s="216"/>
      <c r="DZ238" s="216"/>
      <c r="EA238" s="216"/>
      <c r="EB238" s="216"/>
      <c r="EC238" s="216"/>
      <c r="ED238" s="216"/>
      <c r="EE238" s="216"/>
      <c r="EF238" s="216"/>
      <c r="EG238" s="216"/>
      <c r="EH238" s="216"/>
      <c r="EI238" s="216"/>
      <c r="EJ238" s="216"/>
      <c r="EK238" s="216"/>
      <c r="EL238" s="216"/>
      <c r="EM238" s="216"/>
      <c r="EN238" s="216"/>
      <c r="EO238" s="216"/>
      <c r="EP238" s="216"/>
      <c r="EQ238" s="216"/>
      <c r="ER238" s="216"/>
      <c r="ES238" s="216"/>
      <c r="ET238" s="216"/>
      <c r="EU238" s="216"/>
      <c r="EV238" s="216"/>
      <c r="EW238" s="216"/>
      <c r="EX238" s="216"/>
      <c r="EY238" s="216"/>
      <c r="EZ238" s="216"/>
      <c r="FA238" s="216"/>
      <c r="FB238" s="216"/>
      <c r="FC238" s="216"/>
      <c r="FD238" s="216"/>
      <c r="FE238" s="216"/>
      <c r="FF238" s="216"/>
      <c r="FG238" s="216"/>
      <c r="FH238" s="216"/>
      <c r="FI238" s="216"/>
      <c r="FJ238" s="216"/>
      <c r="FK238" s="216"/>
      <c r="FL238" s="216"/>
      <c r="FM238" s="216"/>
      <c r="FN238" s="216"/>
      <c r="FO238" s="216"/>
      <c r="FP238" s="216"/>
      <c r="FQ238" s="216"/>
      <c r="FR238" s="216"/>
      <c r="FS238" s="216"/>
      <c r="FT238" s="216"/>
      <c r="FU238" s="216"/>
      <c r="FV238" s="216"/>
      <c r="FW238" s="216"/>
      <c r="FX238" s="216"/>
      <c r="FY238" s="216"/>
      <c r="FZ238" s="216"/>
      <c r="GA238" s="216"/>
      <c r="GB238" s="216"/>
      <c r="GC238" s="216"/>
      <c r="GD238" s="216"/>
      <c r="GE238" s="216"/>
      <c r="GF238" s="216"/>
      <c r="GG238" s="216"/>
      <c r="GH238" s="216"/>
      <c r="GI238" s="216"/>
      <c r="GJ238" s="216"/>
      <c r="GK238" s="216"/>
      <c r="GL238" s="216"/>
      <c r="GM238" s="216"/>
      <c r="GN238" s="216"/>
      <c r="GO238" s="216"/>
      <c r="GP238" s="216"/>
      <c r="GQ238" s="216"/>
      <c r="GR238" s="216"/>
      <c r="GS238" s="216"/>
      <c r="GT238" s="216"/>
      <c r="GU238" s="216"/>
      <c r="GV238" s="216"/>
      <c r="GW238" s="216"/>
      <c r="GX238" s="216"/>
      <c r="GY238" s="216"/>
      <c r="GZ238" s="216"/>
      <c r="HA238" s="216"/>
      <c r="HB238" s="216"/>
      <c r="HC238" s="216"/>
      <c r="HD238" s="216"/>
      <c r="HE238" s="216"/>
      <c r="HF238" s="216"/>
      <c r="HG238" s="216"/>
      <c r="HH238" s="216"/>
      <c r="HI238" s="216"/>
      <c r="HJ238" s="216"/>
      <c r="HK238" s="216"/>
      <c r="HL238" s="216"/>
      <c r="HM238" s="216"/>
      <c r="HN238" s="216"/>
      <c r="HO238" s="216"/>
      <c r="HP238" s="216"/>
      <c r="HQ238" s="216"/>
      <c r="HR238" s="216"/>
      <c r="HS238" s="216"/>
      <c r="HT238" s="216"/>
      <c r="HU238" s="216"/>
      <c r="HV238" s="216"/>
      <c r="HW238" s="216"/>
      <c r="HX238" s="216"/>
      <c r="HY238" s="216"/>
      <c r="HZ238" s="216"/>
      <c r="IA238" s="216"/>
      <c r="IB238" s="216"/>
      <c r="IC238" s="216"/>
      <c r="ID238" s="216"/>
      <c r="IE238" s="216"/>
      <c r="IF238" s="216"/>
      <c r="IG238" s="216"/>
      <c r="IH238" s="216"/>
      <c r="II238" s="216"/>
      <c r="IJ238" s="216"/>
      <c r="IK238" s="216"/>
      <c r="IL238" s="216"/>
      <c r="IM238" s="216"/>
      <c r="IN238" s="216"/>
      <c r="IO238" s="216"/>
      <c r="IP238" s="216"/>
      <c r="IQ238" s="216"/>
      <c r="IR238" s="216"/>
      <c r="IS238" s="216"/>
      <c r="IT238" s="216"/>
      <c r="IU238" s="216"/>
    </row>
    <row r="239" spans="1:255" s="221" customFormat="1" ht="78" x14ac:dyDescent="0.4">
      <c r="A239" s="539"/>
      <c r="B239" s="235" t="s">
        <v>759</v>
      </c>
      <c r="C239" s="256" t="s">
        <v>760</v>
      </c>
      <c r="D239" s="230" t="s">
        <v>695</v>
      </c>
      <c r="E239" s="231" t="s">
        <v>761</v>
      </c>
      <c r="F239" s="232" t="s">
        <v>758</v>
      </c>
      <c r="G239" s="233" t="s">
        <v>762</v>
      </c>
      <c r="H239" s="234">
        <v>5307800</v>
      </c>
      <c r="I239" s="259">
        <v>0</v>
      </c>
      <c r="J239" s="234">
        <v>434600</v>
      </c>
      <c r="K239" s="368">
        <f t="shared" si="24"/>
        <v>5742400</v>
      </c>
      <c r="L239" s="369">
        <v>3128200</v>
      </c>
      <c r="M239" s="369">
        <f t="shared" si="22"/>
        <v>2614200</v>
      </c>
      <c r="N239" s="369">
        <v>-1000000</v>
      </c>
      <c r="O239" s="369">
        <v>3800000</v>
      </c>
      <c r="P239" s="369">
        <f t="shared" si="23"/>
        <v>5414200</v>
      </c>
      <c r="Q239" s="218"/>
      <c r="R239" s="218"/>
      <c r="S239" s="218"/>
      <c r="T239" s="218"/>
      <c r="U239" s="218"/>
      <c r="V239" s="218"/>
      <c r="W239" s="218"/>
      <c r="X239" s="218"/>
      <c r="Y239" s="218"/>
      <c r="Z239" s="218"/>
      <c r="AA239" s="218"/>
      <c r="AB239" s="218"/>
      <c r="AC239" s="218"/>
      <c r="AD239" s="218"/>
      <c r="AE239" s="218"/>
      <c r="AF239" s="218"/>
      <c r="AG239" s="218"/>
      <c r="AH239" s="218"/>
      <c r="AI239" s="216"/>
      <c r="AJ239" s="216"/>
      <c r="AK239" s="216"/>
      <c r="AL239" s="216"/>
      <c r="AM239" s="216"/>
      <c r="AN239" s="216"/>
      <c r="AO239" s="216"/>
      <c r="AP239" s="216"/>
      <c r="AQ239" s="216"/>
      <c r="AR239" s="216"/>
      <c r="AS239" s="216"/>
      <c r="AT239" s="216"/>
      <c r="AU239" s="216"/>
      <c r="AV239" s="216"/>
      <c r="AW239" s="216"/>
      <c r="AX239" s="216"/>
      <c r="AY239" s="216"/>
      <c r="AZ239" s="216"/>
      <c r="BA239" s="216"/>
      <c r="BB239" s="216"/>
      <c r="BC239" s="216"/>
      <c r="BD239" s="216"/>
      <c r="BE239" s="216"/>
      <c r="BF239" s="216"/>
      <c r="BG239" s="216"/>
      <c r="BH239" s="216"/>
      <c r="BI239" s="216"/>
      <c r="BJ239" s="216"/>
      <c r="BK239" s="216"/>
      <c r="BL239" s="216"/>
      <c r="BM239" s="216"/>
      <c r="BN239" s="216"/>
      <c r="BO239" s="216"/>
      <c r="BP239" s="216"/>
      <c r="BQ239" s="216"/>
      <c r="BR239" s="216"/>
      <c r="BS239" s="216"/>
      <c r="BT239" s="216"/>
      <c r="BU239" s="216"/>
      <c r="BV239" s="216"/>
      <c r="BW239" s="216"/>
      <c r="BX239" s="216"/>
      <c r="BY239" s="216"/>
      <c r="BZ239" s="216"/>
      <c r="CA239" s="216"/>
      <c r="CB239" s="216"/>
      <c r="CC239" s="216"/>
      <c r="CD239" s="216"/>
      <c r="CE239" s="216"/>
      <c r="CF239" s="216"/>
      <c r="CG239" s="216"/>
      <c r="CH239" s="216"/>
      <c r="CI239" s="216"/>
      <c r="CJ239" s="216"/>
      <c r="CK239" s="216"/>
      <c r="CL239" s="216"/>
      <c r="CM239" s="216"/>
      <c r="CN239" s="216"/>
      <c r="CO239" s="216"/>
      <c r="CP239" s="216"/>
      <c r="CQ239" s="216"/>
      <c r="CR239" s="216"/>
      <c r="CS239" s="216"/>
      <c r="CT239" s="216"/>
      <c r="CU239" s="216"/>
      <c r="CV239" s="216"/>
      <c r="CW239" s="216"/>
      <c r="CX239" s="216"/>
      <c r="CY239" s="216"/>
      <c r="CZ239" s="216"/>
      <c r="DA239" s="216"/>
      <c r="DB239" s="216"/>
      <c r="DC239" s="216"/>
      <c r="DD239" s="216"/>
      <c r="DE239" s="216"/>
      <c r="DF239" s="216"/>
      <c r="DG239" s="216"/>
      <c r="DH239" s="216"/>
      <c r="DI239" s="216"/>
      <c r="DJ239" s="216"/>
      <c r="DK239" s="216"/>
      <c r="DL239" s="216"/>
      <c r="DM239" s="216"/>
      <c r="DN239" s="216"/>
      <c r="DO239" s="216"/>
      <c r="DP239" s="216"/>
      <c r="DQ239" s="216"/>
      <c r="DR239" s="216"/>
      <c r="DS239" s="216"/>
      <c r="DT239" s="216"/>
      <c r="DU239" s="216"/>
      <c r="DV239" s="216"/>
      <c r="DW239" s="216"/>
      <c r="DX239" s="216"/>
      <c r="DY239" s="216"/>
      <c r="DZ239" s="216"/>
      <c r="EA239" s="216"/>
      <c r="EB239" s="216"/>
      <c r="EC239" s="216"/>
      <c r="ED239" s="216"/>
      <c r="EE239" s="216"/>
      <c r="EF239" s="216"/>
      <c r="EG239" s="216"/>
      <c r="EH239" s="216"/>
      <c r="EI239" s="216"/>
      <c r="EJ239" s="216"/>
      <c r="EK239" s="216"/>
      <c r="EL239" s="216"/>
      <c r="EM239" s="216"/>
      <c r="EN239" s="216"/>
      <c r="EO239" s="216"/>
      <c r="EP239" s="216"/>
      <c r="EQ239" s="216"/>
      <c r="ER239" s="216"/>
      <c r="ES239" s="216"/>
      <c r="ET239" s="216"/>
      <c r="EU239" s="216"/>
      <c r="EV239" s="216"/>
      <c r="EW239" s="216"/>
      <c r="EX239" s="216"/>
      <c r="EY239" s="216"/>
      <c r="EZ239" s="216"/>
      <c r="FA239" s="216"/>
      <c r="FB239" s="216"/>
      <c r="FC239" s="216"/>
      <c r="FD239" s="216"/>
      <c r="FE239" s="216"/>
      <c r="FF239" s="216"/>
      <c r="FG239" s="216"/>
      <c r="FH239" s="216"/>
      <c r="FI239" s="216"/>
      <c r="FJ239" s="216"/>
      <c r="FK239" s="216"/>
      <c r="FL239" s="216"/>
      <c r="FM239" s="216"/>
      <c r="FN239" s="216"/>
      <c r="FO239" s="216"/>
      <c r="FP239" s="216"/>
      <c r="FQ239" s="216"/>
      <c r="FR239" s="216"/>
      <c r="FS239" s="216"/>
      <c r="FT239" s="216"/>
      <c r="FU239" s="216"/>
      <c r="FV239" s="216"/>
      <c r="FW239" s="216"/>
      <c r="FX239" s="216"/>
      <c r="FY239" s="216"/>
      <c r="FZ239" s="216"/>
      <c r="GA239" s="216"/>
      <c r="GB239" s="216"/>
      <c r="GC239" s="216"/>
      <c r="GD239" s="216"/>
      <c r="GE239" s="216"/>
      <c r="GF239" s="216"/>
      <c r="GG239" s="216"/>
      <c r="GH239" s="216"/>
      <c r="GI239" s="216"/>
      <c r="GJ239" s="216"/>
      <c r="GK239" s="216"/>
      <c r="GL239" s="216"/>
      <c r="GM239" s="216"/>
      <c r="GN239" s="216"/>
      <c r="GO239" s="216"/>
      <c r="GP239" s="216"/>
      <c r="GQ239" s="216"/>
      <c r="GR239" s="216"/>
      <c r="GS239" s="216"/>
      <c r="GT239" s="216"/>
      <c r="GU239" s="216"/>
      <c r="GV239" s="216"/>
      <c r="GW239" s="216"/>
      <c r="GX239" s="216"/>
      <c r="GY239" s="216"/>
      <c r="GZ239" s="216"/>
      <c r="HA239" s="216"/>
      <c r="HB239" s="216"/>
      <c r="HC239" s="216"/>
      <c r="HD239" s="216"/>
      <c r="HE239" s="216"/>
      <c r="HF239" s="216"/>
      <c r="HG239" s="216"/>
      <c r="HH239" s="216"/>
      <c r="HI239" s="216"/>
      <c r="HJ239" s="216"/>
      <c r="HK239" s="216"/>
      <c r="HL239" s="216"/>
      <c r="HM239" s="216"/>
      <c r="HN239" s="216"/>
      <c r="HO239" s="216"/>
      <c r="HP239" s="216"/>
      <c r="HQ239" s="216"/>
      <c r="HR239" s="216"/>
      <c r="HS239" s="216"/>
      <c r="HT239" s="216"/>
      <c r="HU239" s="216"/>
      <c r="HV239" s="216"/>
      <c r="HW239" s="216"/>
      <c r="HX239" s="216"/>
      <c r="HY239" s="216"/>
      <c r="HZ239" s="216"/>
      <c r="IA239" s="216"/>
      <c r="IB239" s="216"/>
      <c r="IC239" s="216"/>
      <c r="ID239" s="216"/>
      <c r="IE239" s="216"/>
      <c r="IF239" s="216"/>
      <c r="IG239" s="216"/>
      <c r="IH239" s="216"/>
      <c r="II239" s="216"/>
      <c r="IJ239" s="216"/>
      <c r="IK239" s="216"/>
      <c r="IL239" s="216"/>
      <c r="IM239" s="216"/>
      <c r="IN239" s="216"/>
      <c r="IO239" s="216"/>
      <c r="IP239" s="216"/>
      <c r="IQ239" s="216"/>
      <c r="IR239" s="216"/>
      <c r="IS239" s="216"/>
      <c r="IT239" s="216"/>
      <c r="IU239" s="216"/>
    </row>
    <row r="240" spans="1:255" s="221" customFormat="1" ht="46.8" x14ac:dyDescent="0.4">
      <c r="A240" s="539"/>
      <c r="B240" s="235" t="s">
        <v>763</v>
      </c>
      <c r="C240" s="460" t="s">
        <v>764</v>
      </c>
      <c r="D240" s="230" t="s">
        <v>765</v>
      </c>
      <c r="E240" s="231" t="s">
        <v>766</v>
      </c>
      <c r="F240" s="232" t="s">
        <v>758</v>
      </c>
      <c r="G240" s="230" t="s">
        <v>697</v>
      </c>
      <c r="H240" s="234">
        <v>5473300</v>
      </c>
      <c r="I240" s="259">
        <v>0</v>
      </c>
      <c r="J240" s="234">
        <v>0</v>
      </c>
      <c r="K240" s="368">
        <f t="shared" si="24"/>
        <v>5473300</v>
      </c>
      <c r="L240" s="369">
        <v>0</v>
      </c>
      <c r="M240" s="369">
        <f t="shared" si="22"/>
        <v>5473300</v>
      </c>
      <c r="N240" s="369">
        <v>-1062953</v>
      </c>
      <c r="O240" s="369">
        <v>1062953</v>
      </c>
      <c r="P240" s="369">
        <f t="shared" si="23"/>
        <v>5473300</v>
      </c>
      <c r="Q240" s="218"/>
      <c r="R240" s="218"/>
      <c r="S240" s="218"/>
      <c r="T240" s="218"/>
      <c r="U240" s="218"/>
      <c r="V240" s="218"/>
      <c r="W240" s="218"/>
      <c r="X240" s="218"/>
      <c r="Y240" s="218"/>
      <c r="Z240" s="218"/>
      <c r="AA240" s="218"/>
      <c r="AB240" s="218"/>
      <c r="AC240" s="218"/>
      <c r="AD240" s="218"/>
      <c r="AE240" s="218"/>
      <c r="AF240" s="218"/>
      <c r="AG240" s="218"/>
      <c r="AH240" s="218"/>
      <c r="AI240" s="216"/>
      <c r="AJ240" s="216"/>
      <c r="AK240" s="216"/>
      <c r="AL240" s="216"/>
      <c r="AM240" s="216"/>
      <c r="AN240" s="216"/>
      <c r="AO240" s="216"/>
      <c r="AP240" s="216"/>
      <c r="AQ240" s="216"/>
      <c r="AR240" s="216"/>
      <c r="AS240" s="216"/>
      <c r="AT240" s="216"/>
      <c r="AU240" s="216"/>
      <c r="AV240" s="216"/>
      <c r="AW240" s="216"/>
      <c r="AX240" s="216"/>
      <c r="AY240" s="216"/>
      <c r="AZ240" s="216"/>
      <c r="BA240" s="216"/>
      <c r="BB240" s="216"/>
      <c r="BC240" s="216"/>
      <c r="BD240" s="216"/>
      <c r="BE240" s="216"/>
      <c r="BF240" s="216"/>
      <c r="BG240" s="216"/>
      <c r="BH240" s="216"/>
      <c r="BI240" s="216"/>
      <c r="BJ240" s="216"/>
      <c r="BK240" s="216"/>
      <c r="BL240" s="216"/>
      <c r="BM240" s="216"/>
      <c r="BN240" s="216"/>
      <c r="BO240" s="216"/>
      <c r="BP240" s="216"/>
      <c r="BQ240" s="216"/>
      <c r="BR240" s="216"/>
      <c r="BS240" s="216"/>
      <c r="BT240" s="216"/>
      <c r="BU240" s="216"/>
      <c r="BV240" s="216"/>
      <c r="BW240" s="216"/>
      <c r="BX240" s="216"/>
      <c r="BY240" s="216"/>
      <c r="BZ240" s="216"/>
      <c r="CA240" s="216"/>
      <c r="CB240" s="216"/>
      <c r="CC240" s="216"/>
      <c r="CD240" s="216"/>
      <c r="CE240" s="216"/>
      <c r="CF240" s="216"/>
      <c r="CG240" s="216"/>
      <c r="CH240" s="216"/>
      <c r="CI240" s="216"/>
      <c r="CJ240" s="216"/>
      <c r="CK240" s="216"/>
      <c r="CL240" s="216"/>
      <c r="CM240" s="216"/>
      <c r="CN240" s="216"/>
      <c r="CO240" s="216"/>
      <c r="CP240" s="216"/>
      <c r="CQ240" s="216"/>
      <c r="CR240" s="216"/>
      <c r="CS240" s="216"/>
      <c r="CT240" s="216"/>
      <c r="CU240" s="216"/>
      <c r="CV240" s="216"/>
      <c r="CW240" s="216"/>
      <c r="CX240" s="216"/>
      <c r="CY240" s="216"/>
      <c r="CZ240" s="216"/>
      <c r="DA240" s="216"/>
      <c r="DB240" s="216"/>
      <c r="DC240" s="216"/>
      <c r="DD240" s="216"/>
      <c r="DE240" s="216"/>
      <c r="DF240" s="216"/>
      <c r="DG240" s="216"/>
      <c r="DH240" s="216"/>
      <c r="DI240" s="216"/>
      <c r="DJ240" s="216"/>
      <c r="DK240" s="216"/>
      <c r="DL240" s="216"/>
      <c r="DM240" s="216"/>
      <c r="DN240" s="216"/>
      <c r="DO240" s="216"/>
      <c r="DP240" s="216"/>
      <c r="DQ240" s="216"/>
      <c r="DR240" s="216"/>
      <c r="DS240" s="216"/>
      <c r="DT240" s="216"/>
      <c r="DU240" s="216"/>
      <c r="DV240" s="216"/>
      <c r="DW240" s="216"/>
      <c r="DX240" s="216"/>
      <c r="DY240" s="216"/>
      <c r="DZ240" s="216"/>
      <c r="EA240" s="216"/>
      <c r="EB240" s="216"/>
      <c r="EC240" s="216"/>
      <c r="ED240" s="216"/>
      <c r="EE240" s="216"/>
      <c r="EF240" s="216"/>
      <c r="EG240" s="216"/>
      <c r="EH240" s="216"/>
      <c r="EI240" s="216"/>
      <c r="EJ240" s="216"/>
      <c r="EK240" s="216"/>
      <c r="EL240" s="216"/>
      <c r="EM240" s="216"/>
      <c r="EN240" s="216"/>
      <c r="EO240" s="216"/>
      <c r="EP240" s="216"/>
      <c r="EQ240" s="216"/>
      <c r="ER240" s="216"/>
      <c r="ES240" s="216"/>
      <c r="ET240" s="216"/>
      <c r="EU240" s="216"/>
      <c r="EV240" s="216"/>
      <c r="EW240" s="216"/>
      <c r="EX240" s="216"/>
      <c r="EY240" s="216"/>
      <c r="EZ240" s="216"/>
      <c r="FA240" s="216"/>
      <c r="FB240" s="216"/>
      <c r="FC240" s="216"/>
      <c r="FD240" s="216"/>
      <c r="FE240" s="216"/>
      <c r="FF240" s="216"/>
      <c r="FG240" s="216"/>
      <c r="FH240" s="216"/>
      <c r="FI240" s="216"/>
      <c r="FJ240" s="216"/>
      <c r="FK240" s="216"/>
      <c r="FL240" s="216"/>
      <c r="FM240" s="216"/>
      <c r="FN240" s="216"/>
      <c r="FO240" s="216"/>
      <c r="FP240" s="216"/>
      <c r="FQ240" s="216"/>
      <c r="FR240" s="216"/>
      <c r="FS240" s="216"/>
      <c r="FT240" s="216"/>
      <c r="FU240" s="216"/>
      <c r="FV240" s="216"/>
      <c r="FW240" s="216"/>
      <c r="FX240" s="216"/>
      <c r="FY240" s="216"/>
      <c r="FZ240" s="216"/>
      <c r="GA240" s="216"/>
      <c r="GB240" s="216"/>
      <c r="GC240" s="216"/>
      <c r="GD240" s="216"/>
      <c r="GE240" s="216"/>
      <c r="GF240" s="216"/>
      <c r="GG240" s="216"/>
      <c r="GH240" s="216"/>
      <c r="GI240" s="216"/>
      <c r="GJ240" s="216"/>
      <c r="GK240" s="216"/>
      <c r="GL240" s="216"/>
      <c r="GM240" s="216"/>
      <c r="GN240" s="216"/>
      <c r="GO240" s="216"/>
      <c r="GP240" s="216"/>
      <c r="GQ240" s="216"/>
      <c r="GR240" s="216"/>
      <c r="GS240" s="216"/>
      <c r="GT240" s="216"/>
      <c r="GU240" s="216"/>
      <c r="GV240" s="216"/>
      <c r="GW240" s="216"/>
      <c r="GX240" s="216"/>
      <c r="GY240" s="216"/>
      <c r="GZ240" s="216"/>
      <c r="HA240" s="216"/>
      <c r="HB240" s="216"/>
      <c r="HC240" s="216"/>
      <c r="HD240" s="216"/>
      <c r="HE240" s="216"/>
      <c r="HF240" s="216"/>
      <c r="HG240" s="216"/>
      <c r="HH240" s="216"/>
      <c r="HI240" s="216"/>
      <c r="HJ240" s="216"/>
      <c r="HK240" s="216"/>
      <c r="HL240" s="216"/>
      <c r="HM240" s="216"/>
      <c r="HN240" s="216"/>
      <c r="HO240" s="216"/>
      <c r="HP240" s="216"/>
      <c r="HQ240" s="216"/>
      <c r="HR240" s="216"/>
      <c r="HS240" s="216"/>
      <c r="HT240" s="216"/>
      <c r="HU240" s="216"/>
      <c r="HV240" s="216"/>
      <c r="HW240" s="216"/>
      <c r="HX240" s="216"/>
      <c r="HY240" s="216"/>
      <c r="HZ240" s="216"/>
      <c r="IA240" s="216"/>
      <c r="IB240" s="216"/>
      <c r="IC240" s="216"/>
      <c r="ID240" s="216"/>
      <c r="IE240" s="216"/>
      <c r="IF240" s="216"/>
      <c r="IG240" s="216"/>
      <c r="IH240" s="216"/>
      <c r="II240" s="216"/>
      <c r="IJ240" s="216"/>
      <c r="IK240" s="216"/>
      <c r="IL240" s="216"/>
      <c r="IM240" s="216"/>
      <c r="IN240" s="216"/>
      <c r="IO240" s="216"/>
      <c r="IP240" s="216"/>
      <c r="IQ240" s="216"/>
      <c r="IR240" s="216"/>
      <c r="IS240" s="216"/>
      <c r="IT240" s="216"/>
      <c r="IU240" s="216"/>
    </row>
    <row r="241" spans="1:255" s="221" customFormat="1" ht="46.8" x14ac:dyDescent="0.4">
      <c r="A241" s="539"/>
      <c r="B241" s="235" t="s">
        <v>767</v>
      </c>
      <c r="C241" s="460" t="s">
        <v>768</v>
      </c>
      <c r="D241" s="230" t="s">
        <v>765</v>
      </c>
      <c r="E241" s="231" t="s">
        <v>769</v>
      </c>
      <c r="F241" s="232" t="s">
        <v>758</v>
      </c>
      <c r="G241" s="230" t="s">
        <v>697</v>
      </c>
      <c r="H241" s="234">
        <v>5000000</v>
      </c>
      <c r="I241" s="259">
        <v>0</v>
      </c>
      <c r="J241" s="234">
        <v>0</v>
      </c>
      <c r="K241" s="368">
        <f t="shared" si="24"/>
        <v>5000000</v>
      </c>
      <c r="L241" s="369">
        <v>0</v>
      </c>
      <c r="M241" s="369">
        <f t="shared" si="22"/>
        <v>5000000</v>
      </c>
      <c r="N241" s="369">
        <f>1000000+500000</f>
        <v>1500000</v>
      </c>
      <c r="O241" s="369">
        <v>0</v>
      </c>
      <c r="P241" s="369">
        <f>SUM(M241:N241)</f>
        <v>6500000</v>
      </c>
      <c r="Q241" s="218"/>
      <c r="R241" s="218"/>
      <c r="S241" s="218"/>
      <c r="T241" s="218"/>
      <c r="U241" s="218"/>
      <c r="V241" s="218"/>
      <c r="W241" s="218"/>
      <c r="X241" s="218"/>
      <c r="Y241" s="218"/>
      <c r="Z241" s="218"/>
      <c r="AA241" s="218"/>
      <c r="AB241" s="218"/>
      <c r="AC241" s="218"/>
      <c r="AD241" s="218"/>
      <c r="AE241" s="218"/>
      <c r="AF241" s="218"/>
      <c r="AG241" s="218"/>
      <c r="AH241" s="218"/>
      <c r="AI241" s="216"/>
      <c r="AJ241" s="216"/>
      <c r="AK241" s="216"/>
      <c r="AL241" s="216"/>
      <c r="AM241" s="216"/>
      <c r="AN241" s="216"/>
      <c r="AO241" s="216"/>
      <c r="AP241" s="216"/>
      <c r="AQ241" s="216"/>
      <c r="AR241" s="216"/>
      <c r="AS241" s="216"/>
      <c r="AT241" s="216"/>
      <c r="AU241" s="216"/>
      <c r="AV241" s="216"/>
      <c r="AW241" s="216"/>
      <c r="AX241" s="216"/>
      <c r="AY241" s="216"/>
      <c r="AZ241" s="216"/>
      <c r="BA241" s="216"/>
      <c r="BB241" s="216"/>
      <c r="BC241" s="216"/>
      <c r="BD241" s="216"/>
      <c r="BE241" s="216"/>
      <c r="BF241" s="216"/>
      <c r="BG241" s="216"/>
      <c r="BH241" s="216"/>
      <c r="BI241" s="216"/>
      <c r="BJ241" s="216"/>
      <c r="BK241" s="216"/>
      <c r="BL241" s="216"/>
      <c r="BM241" s="216"/>
      <c r="BN241" s="216"/>
      <c r="BO241" s="216"/>
      <c r="BP241" s="216"/>
      <c r="BQ241" s="216"/>
      <c r="BR241" s="216"/>
      <c r="BS241" s="216"/>
      <c r="BT241" s="216"/>
      <c r="BU241" s="216"/>
      <c r="BV241" s="216"/>
      <c r="BW241" s="216"/>
      <c r="BX241" s="216"/>
      <c r="BY241" s="216"/>
      <c r="BZ241" s="216"/>
      <c r="CA241" s="216"/>
      <c r="CB241" s="216"/>
      <c r="CC241" s="216"/>
      <c r="CD241" s="216"/>
      <c r="CE241" s="216"/>
      <c r="CF241" s="216"/>
      <c r="CG241" s="216"/>
      <c r="CH241" s="216"/>
      <c r="CI241" s="216"/>
      <c r="CJ241" s="216"/>
      <c r="CK241" s="216"/>
      <c r="CL241" s="216"/>
      <c r="CM241" s="216"/>
      <c r="CN241" s="216"/>
      <c r="CO241" s="216"/>
      <c r="CP241" s="216"/>
      <c r="CQ241" s="216"/>
      <c r="CR241" s="216"/>
      <c r="CS241" s="216"/>
      <c r="CT241" s="216"/>
      <c r="CU241" s="216"/>
      <c r="CV241" s="216"/>
      <c r="CW241" s="216"/>
      <c r="CX241" s="216"/>
      <c r="CY241" s="216"/>
      <c r="CZ241" s="216"/>
      <c r="DA241" s="216"/>
      <c r="DB241" s="216"/>
      <c r="DC241" s="216"/>
      <c r="DD241" s="216"/>
      <c r="DE241" s="216"/>
      <c r="DF241" s="216"/>
      <c r="DG241" s="216"/>
      <c r="DH241" s="216"/>
      <c r="DI241" s="216"/>
      <c r="DJ241" s="216"/>
      <c r="DK241" s="216"/>
      <c r="DL241" s="216"/>
      <c r="DM241" s="216"/>
      <c r="DN241" s="216"/>
      <c r="DO241" s="216"/>
      <c r="DP241" s="216"/>
      <c r="DQ241" s="216"/>
      <c r="DR241" s="216"/>
      <c r="DS241" s="216"/>
      <c r="DT241" s="216"/>
      <c r="DU241" s="216"/>
      <c r="DV241" s="216"/>
      <c r="DW241" s="216"/>
      <c r="DX241" s="216"/>
      <c r="DY241" s="216"/>
      <c r="DZ241" s="216"/>
      <c r="EA241" s="216"/>
      <c r="EB241" s="216"/>
      <c r="EC241" s="216"/>
      <c r="ED241" s="216"/>
      <c r="EE241" s="216"/>
      <c r="EF241" s="216"/>
      <c r="EG241" s="216"/>
      <c r="EH241" s="216"/>
      <c r="EI241" s="216"/>
      <c r="EJ241" s="216"/>
      <c r="EK241" s="216"/>
      <c r="EL241" s="216"/>
      <c r="EM241" s="216"/>
      <c r="EN241" s="216"/>
      <c r="EO241" s="216"/>
      <c r="EP241" s="216"/>
      <c r="EQ241" s="216"/>
      <c r="ER241" s="216"/>
      <c r="ES241" s="216"/>
      <c r="ET241" s="216"/>
      <c r="EU241" s="216"/>
      <c r="EV241" s="216"/>
      <c r="EW241" s="216"/>
      <c r="EX241" s="216"/>
      <c r="EY241" s="216"/>
      <c r="EZ241" s="216"/>
      <c r="FA241" s="216"/>
      <c r="FB241" s="216"/>
      <c r="FC241" s="216"/>
      <c r="FD241" s="216"/>
      <c r="FE241" s="216"/>
      <c r="FF241" s="216"/>
      <c r="FG241" s="216"/>
      <c r="FH241" s="216"/>
      <c r="FI241" s="216"/>
      <c r="FJ241" s="216"/>
      <c r="FK241" s="216"/>
      <c r="FL241" s="216"/>
      <c r="FM241" s="216"/>
      <c r="FN241" s="216"/>
      <c r="FO241" s="216"/>
      <c r="FP241" s="216"/>
      <c r="FQ241" s="216"/>
      <c r="FR241" s="216"/>
      <c r="FS241" s="216"/>
      <c r="FT241" s="216"/>
      <c r="FU241" s="216"/>
      <c r="FV241" s="216"/>
      <c r="FW241" s="216"/>
      <c r="FX241" s="216"/>
      <c r="FY241" s="216"/>
      <c r="FZ241" s="216"/>
      <c r="GA241" s="216"/>
      <c r="GB241" s="216"/>
      <c r="GC241" s="216"/>
      <c r="GD241" s="216"/>
      <c r="GE241" s="216"/>
      <c r="GF241" s="216"/>
      <c r="GG241" s="216"/>
      <c r="GH241" s="216"/>
      <c r="GI241" s="216"/>
      <c r="GJ241" s="216"/>
      <c r="GK241" s="216"/>
      <c r="GL241" s="216"/>
      <c r="GM241" s="216"/>
      <c r="GN241" s="216"/>
      <c r="GO241" s="216"/>
      <c r="GP241" s="216"/>
      <c r="GQ241" s="216"/>
      <c r="GR241" s="216"/>
      <c r="GS241" s="216"/>
      <c r="GT241" s="216"/>
      <c r="GU241" s="216"/>
      <c r="GV241" s="216"/>
      <c r="GW241" s="216"/>
      <c r="GX241" s="216"/>
      <c r="GY241" s="216"/>
      <c r="GZ241" s="216"/>
      <c r="HA241" s="216"/>
      <c r="HB241" s="216"/>
      <c r="HC241" s="216"/>
      <c r="HD241" s="216"/>
      <c r="HE241" s="216"/>
      <c r="HF241" s="216"/>
      <c r="HG241" s="216"/>
      <c r="HH241" s="216"/>
      <c r="HI241" s="216"/>
      <c r="HJ241" s="216"/>
      <c r="HK241" s="216"/>
      <c r="HL241" s="216"/>
      <c r="HM241" s="216"/>
      <c r="HN241" s="216"/>
      <c r="HO241" s="216"/>
      <c r="HP241" s="216"/>
      <c r="HQ241" s="216"/>
      <c r="HR241" s="216"/>
      <c r="HS241" s="216"/>
      <c r="HT241" s="216"/>
      <c r="HU241" s="216"/>
      <c r="HV241" s="216"/>
      <c r="HW241" s="216"/>
      <c r="HX241" s="216"/>
      <c r="HY241" s="216"/>
      <c r="HZ241" s="216"/>
      <c r="IA241" s="216"/>
      <c r="IB241" s="216"/>
      <c r="IC241" s="216"/>
      <c r="ID241" s="216"/>
      <c r="IE241" s="216"/>
      <c r="IF241" s="216"/>
      <c r="IG241" s="216"/>
      <c r="IH241" s="216"/>
      <c r="II241" s="216"/>
      <c r="IJ241" s="216"/>
      <c r="IK241" s="216"/>
      <c r="IL241" s="216"/>
      <c r="IM241" s="216"/>
      <c r="IN241" s="216"/>
      <c r="IO241" s="216"/>
      <c r="IP241" s="216"/>
      <c r="IQ241" s="216"/>
      <c r="IR241" s="216"/>
      <c r="IS241" s="216"/>
      <c r="IT241" s="216"/>
      <c r="IU241" s="216"/>
    </row>
    <row r="242" spans="1:255" s="221" customFormat="1" ht="78" x14ac:dyDescent="0.4">
      <c r="A242" s="539"/>
      <c r="B242" s="235" t="s">
        <v>770</v>
      </c>
      <c r="C242" s="256" t="s">
        <v>771</v>
      </c>
      <c r="D242" s="257">
        <v>42522</v>
      </c>
      <c r="E242" s="232" t="s">
        <v>772</v>
      </c>
      <c r="F242" s="232" t="s">
        <v>758</v>
      </c>
      <c r="G242" s="233" t="s">
        <v>697</v>
      </c>
      <c r="H242" s="234">
        <v>6244040</v>
      </c>
      <c r="I242" s="259"/>
      <c r="J242" s="234">
        <v>9000000</v>
      </c>
      <c r="K242" s="368">
        <f t="shared" si="24"/>
        <v>15244040</v>
      </c>
      <c r="L242" s="369">
        <v>6425900</v>
      </c>
      <c r="M242" s="369">
        <f t="shared" si="22"/>
        <v>8818140</v>
      </c>
      <c r="N242" s="369">
        <v>0</v>
      </c>
      <c r="O242" s="369">
        <v>8500000</v>
      </c>
      <c r="P242" s="369">
        <f t="shared" si="23"/>
        <v>17318140</v>
      </c>
      <c r="Q242" s="218"/>
      <c r="R242" s="218"/>
      <c r="S242" s="218"/>
      <c r="T242" s="218"/>
      <c r="U242" s="218"/>
      <c r="V242" s="218"/>
      <c r="W242" s="218"/>
      <c r="X242" s="218"/>
      <c r="Y242" s="218"/>
      <c r="Z242" s="218"/>
      <c r="AA242" s="218"/>
      <c r="AB242" s="218"/>
      <c r="AC242" s="218"/>
      <c r="AD242" s="218"/>
      <c r="AE242" s="218"/>
      <c r="AF242" s="218"/>
      <c r="AG242" s="218"/>
      <c r="AH242" s="218"/>
      <c r="AI242" s="216"/>
      <c r="AJ242" s="216"/>
      <c r="AK242" s="216"/>
      <c r="AL242" s="216"/>
      <c r="AM242" s="216"/>
      <c r="AN242" s="216"/>
      <c r="AO242" s="216"/>
      <c r="AP242" s="216"/>
      <c r="AQ242" s="216"/>
      <c r="AR242" s="216"/>
      <c r="AS242" s="216"/>
      <c r="AT242" s="216"/>
      <c r="AU242" s="216"/>
      <c r="AV242" s="216"/>
      <c r="AW242" s="216"/>
      <c r="AX242" s="216"/>
      <c r="AY242" s="216"/>
      <c r="AZ242" s="216"/>
      <c r="BA242" s="216"/>
      <c r="BB242" s="216"/>
      <c r="BC242" s="216"/>
      <c r="BD242" s="216"/>
      <c r="BE242" s="216"/>
      <c r="BF242" s="216"/>
      <c r="BG242" s="216"/>
      <c r="BH242" s="216"/>
      <c r="BI242" s="216"/>
      <c r="BJ242" s="216"/>
      <c r="BK242" s="216"/>
      <c r="BL242" s="216"/>
      <c r="BM242" s="216"/>
      <c r="BN242" s="216"/>
      <c r="BO242" s="216"/>
      <c r="BP242" s="216"/>
      <c r="BQ242" s="216"/>
      <c r="BR242" s="216"/>
      <c r="BS242" s="216"/>
      <c r="BT242" s="216"/>
      <c r="BU242" s="216"/>
      <c r="BV242" s="216"/>
      <c r="BW242" s="216"/>
      <c r="BX242" s="216"/>
      <c r="BY242" s="216"/>
      <c r="BZ242" s="216"/>
      <c r="CA242" s="216"/>
      <c r="CB242" s="216"/>
      <c r="CC242" s="216"/>
      <c r="CD242" s="216"/>
      <c r="CE242" s="216"/>
      <c r="CF242" s="216"/>
      <c r="CG242" s="216"/>
      <c r="CH242" s="216"/>
      <c r="CI242" s="216"/>
      <c r="CJ242" s="216"/>
      <c r="CK242" s="216"/>
      <c r="CL242" s="216"/>
      <c r="CM242" s="216"/>
      <c r="CN242" s="216"/>
      <c r="CO242" s="216"/>
      <c r="CP242" s="216"/>
      <c r="CQ242" s="216"/>
      <c r="CR242" s="216"/>
      <c r="CS242" s="216"/>
      <c r="CT242" s="216"/>
      <c r="CU242" s="216"/>
      <c r="CV242" s="216"/>
      <c r="CW242" s="216"/>
      <c r="CX242" s="216"/>
      <c r="CY242" s="216"/>
      <c r="CZ242" s="216"/>
      <c r="DA242" s="216"/>
      <c r="DB242" s="216"/>
      <c r="DC242" s="216"/>
      <c r="DD242" s="216"/>
      <c r="DE242" s="216"/>
      <c r="DF242" s="216"/>
      <c r="DG242" s="216"/>
      <c r="DH242" s="216"/>
      <c r="DI242" s="216"/>
      <c r="DJ242" s="216"/>
      <c r="DK242" s="216"/>
      <c r="DL242" s="216"/>
      <c r="DM242" s="216"/>
      <c r="DN242" s="216"/>
      <c r="DO242" s="216"/>
      <c r="DP242" s="216"/>
      <c r="DQ242" s="216"/>
      <c r="DR242" s="216"/>
      <c r="DS242" s="216"/>
      <c r="DT242" s="216"/>
      <c r="DU242" s="216"/>
      <c r="DV242" s="216"/>
      <c r="DW242" s="216"/>
      <c r="DX242" s="216"/>
      <c r="DY242" s="216"/>
      <c r="DZ242" s="216"/>
      <c r="EA242" s="216"/>
      <c r="EB242" s="216"/>
      <c r="EC242" s="216"/>
      <c r="ED242" s="216"/>
      <c r="EE242" s="216"/>
      <c r="EF242" s="216"/>
      <c r="EG242" s="216"/>
      <c r="EH242" s="216"/>
      <c r="EI242" s="216"/>
      <c r="EJ242" s="216"/>
      <c r="EK242" s="216"/>
      <c r="EL242" s="216"/>
      <c r="EM242" s="216"/>
      <c r="EN242" s="216"/>
      <c r="EO242" s="216"/>
      <c r="EP242" s="216"/>
      <c r="EQ242" s="216"/>
      <c r="ER242" s="216"/>
      <c r="ES242" s="216"/>
      <c r="ET242" s="216"/>
      <c r="EU242" s="216"/>
      <c r="EV242" s="216"/>
      <c r="EW242" s="216"/>
      <c r="EX242" s="216"/>
      <c r="EY242" s="216"/>
      <c r="EZ242" s="216"/>
      <c r="FA242" s="216"/>
      <c r="FB242" s="216"/>
      <c r="FC242" s="216"/>
      <c r="FD242" s="216"/>
      <c r="FE242" s="216"/>
      <c r="FF242" s="216"/>
      <c r="FG242" s="216"/>
      <c r="FH242" s="216"/>
      <c r="FI242" s="216"/>
      <c r="FJ242" s="216"/>
      <c r="FK242" s="216"/>
      <c r="FL242" s="216"/>
      <c r="FM242" s="216"/>
      <c r="FN242" s="216"/>
      <c r="FO242" s="216"/>
      <c r="FP242" s="216"/>
      <c r="FQ242" s="216"/>
      <c r="FR242" s="216"/>
      <c r="FS242" s="216"/>
      <c r="FT242" s="216"/>
      <c r="FU242" s="216"/>
      <c r="FV242" s="216"/>
      <c r="FW242" s="216"/>
      <c r="FX242" s="216"/>
      <c r="FY242" s="216"/>
      <c r="FZ242" s="216"/>
      <c r="GA242" s="216"/>
      <c r="GB242" s="216"/>
      <c r="GC242" s="216"/>
      <c r="GD242" s="216"/>
      <c r="GE242" s="216"/>
      <c r="GF242" s="216"/>
      <c r="GG242" s="216"/>
      <c r="GH242" s="216"/>
      <c r="GI242" s="216"/>
      <c r="GJ242" s="216"/>
      <c r="GK242" s="216"/>
      <c r="GL242" s="216"/>
      <c r="GM242" s="216"/>
      <c r="GN242" s="216"/>
      <c r="GO242" s="216"/>
      <c r="GP242" s="216"/>
      <c r="GQ242" s="216"/>
      <c r="GR242" s="216"/>
      <c r="GS242" s="216"/>
      <c r="GT242" s="216"/>
      <c r="GU242" s="216"/>
      <c r="GV242" s="216"/>
      <c r="GW242" s="216"/>
      <c r="GX242" s="216"/>
      <c r="GY242" s="216"/>
      <c r="GZ242" s="216"/>
      <c r="HA242" s="216"/>
      <c r="HB242" s="216"/>
      <c r="HC242" s="216"/>
      <c r="HD242" s="216"/>
      <c r="HE242" s="216"/>
      <c r="HF242" s="216"/>
      <c r="HG242" s="216"/>
      <c r="HH242" s="216"/>
      <c r="HI242" s="216"/>
      <c r="HJ242" s="216"/>
      <c r="HK242" s="216"/>
      <c r="HL242" s="216"/>
      <c r="HM242" s="216"/>
      <c r="HN242" s="216"/>
      <c r="HO242" s="216"/>
      <c r="HP242" s="216"/>
      <c r="HQ242" s="216"/>
      <c r="HR242" s="216"/>
      <c r="HS242" s="216"/>
      <c r="HT242" s="216"/>
      <c r="HU242" s="216"/>
      <c r="HV242" s="216"/>
      <c r="HW242" s="216"/>
      <c r="HX242" s="216"/>
      <c r="HY242" s="216"/>
      <c r="HZ242" s="216"/>
      <c r="IA242" s="216"/>
      <c r="IB242" s="216"/>
      <c r="IC242" s="216"/>
      <c r="ID242" s="216"/>
      <c r="IE242" s="216"/>
      <c r="IF242" s="216"/>
      <c r="IG242" s="216"/>
      <c r="IH242" s="216"/>
      <c r="II242" s="216"/>
      <c r="IJ242" s="216"/>
      <c r="IK242" s="216"/>
      <c r="IL242" s="216"/>
      <c r="IM242" s="216"/>
      <c r="IN242" s="216"/>
      <c r="IO242" s="216"/>
      <c r="IP242" s="216"/>
      <c r="IQ242" s="216"/>
      <c r="IR242" s="216"/>
      <c r="IS242" s="216"/>
      <c r="IT242" s="216"/>
      <c r="IU242" s="216"/>
    </row>
    <row r="243" spans="1:255" s="221" customFormat="1" ht="78" x14ac:dyDescent="0.4">
      <c r="A243" s="539"/>
      <c r="B243" s="235" t="s">
        <v>773</v>
      </c>
      <c r="C243" s="256" t="s">
        <v>774</v>
      </c>
      <c r="D243" s="257"/>
      <c r="E243" s="232"/>
      <c r="F243" s="232"/>
      <c r="G243" s="233"/>
      <c r="H243" s="234"/>
      <c r="I243" s="259"/>
      <c r="J243" s="234"/>
      <c r="K243" s="368">
        <v>0</v>
      </c>
      <c r="L243" s="369">
        <v>0</v>
      </c>
      <c r="M243" s="369">
        <v>0</v>
      </c>
      <c r="N243" s="369">
        <f>1440000-986432</f>
        <v>453568</v>
      </c>
      <c r="O243" s="369">
        <v>986432</v>
      </c>
      <c r="P243" s="369"/>
      <c r="Q243" s="218"/>
      <c r="R243" s="218"/>
      <c r="S243" s="218"/>
      <c r="T243" s="218"/>
      <c r="U243" s="218"/>
      <c r="V243" s="218"/>
      <c r="W243" s="218"/>
      <c r="X243" s="218"/>
      <c r="Y243" s="218"/>
      <c r="Z243" s="218"/>
      <c r="AA243" s="218"/>
      <c r="AB243" s="218"/>
      <c r="AC243" s="218"/>
      <c r="AD243" s="218"/>
      <c r="AE243" s="218"/>
      <c r="AF243" s="218"/>
      <c r="AG243" s="218"/>
      <c r="AH243" s="218"/>
      <c r="AI243" s="216"/>
      <c r="AJ243" s="216"/>
      <c r="AK243" s="216"/>
      <c r="AL243" s="216"/>
      <c r="AM243" s="216"/>
      <c r="AN243" s="216"/>
      <c r="AO243" s="216"/>
      <c r="AP243" s="216"/>
      <c r="AQ243" s="216"/>
      <c r="AR243" s="216"/>
      <c r="AS243" s="216"/>
      <c r="AT243" s="216"/>
      <c r="AU243" s="216"/>
      <c r="AV243" s="216"/>
      <c r="AW243" s="216"/>
      <c r="AX243" s="216"/>
      <c r="AY243" s="216"/>
      <c r="AZ243" s="216"/>
      <c r="BA243" s="216"/>
      <c r="BB243" s="216"/>
      <c r="BC243" s="216"/>
      <c r="BD243" s="216"/>
      <c r="BE243" s="216"/>
      <c r="BF243" s="216"/>
      <c r="BG243" s="216"/>
      <c r="BH243" s="216"/>
      <c r="BI243" s="216"/>
      <c r="BJ243" s="216"/>
      <c r="BK243" s="216"/>
      <c r="BL243" s="216"/>
      <c r="BM243" s="216"/>
      <c r="BN243" s="216"/>
      <c r="BO243" s="216"/>
      <c r="BP243" s="216"/>
      <c r="BQ243" s="216"/>
      <c r="BR243" s="216"/>
      <c r="BS243" s="216"/>
      <c r="BT243" s="216"/>
      <c r="BU243" s="216"/>
      <c r="BV243" s="216"/>
      <c r="BW243" s="216"/>
      <c r="BX243" s="216"/>
      <c r="BY243" s="216"/>
      <c r="BZ243" s="216"/>
      <c r="CA243" s="216"/>
      <c r="CB243" s="216"/>
      <c r="CC243" s="216"/>
      <c r="CD243" s="216"/>
      <c r="CE243" s="216"/>
      <c r="CF243" s="216"/>
      <c r="CG243" s="216"/>
      <c r="CH243" s="216"/>
      <c r="CI243" s="216"/>
      <c r="CJ243" s="216"/>
      <c r="CK243" s="216"/>
      <c r="CL243" s="216"/>
      <c r="CM243" s="216"/>
      <c r="CN243" s="216"/>
      <c r="CO243" s="216"/>
      <c r="CP243" s="216"/>
      <c r="CQ243" s="216"/>
      <c r="CR243" s="216"/>
      <c r="CS243" s="216"/>
      <c r="CT243" s="216"/>
      <c r="CU243" s="216"/>
      <c r="CV243" s="216"/>
      <c r="CW243" s="216"/>
      <c r="CX243" s="216"/>
      <c r="CY243" s="216"/>
      <c r="CZ243" s="216"/>
      <c r="DA243" s="216"/>
      <c r="DB243" s="216"/>
      <c r="DC243" s="216"/>
      <c r="DD243" s="216"/>
      <c r="DE243" s="216"/>
      <c r="DF243" s="216"/>
      <c r="DG243" s="216"/>
      <c r="DH243" s="216"/>
      <c r="DI243" s="216"/>
      <c r="DJ243" s="216"/>
      <c r="DK243" s="216"/>
      <c r="DL243" s="216"/>
      <c r="DM243" s="216"/>
      <c r="DN243" s="216"/>
      <c r="DO243" s="216"/>
      <c r="DP243" s="216"/>
      <c r="DQ243" s="216"/>
      <c r="DR243" s="216"/>
      <c r="DS243" s="216"/>
      <c r="DT243" s="216"/>
      <c r="DU243" s="216"/>
      <c r="DV243" s="216"/>
      <c r="DW243" s="216"/>
      <c r="DX243" s="216"/>
      <c r="DY243" s="216"/>
      <c r="DZ243" s="216"/>
      <c r="EA243" s="216"/>
      <c r="EB243" s="216"/>
      <c r="EC243" s="216"/>
      <c r="ED243" s="216"/>
      <c r="EE243" s="216"/>
      <c r="EF243" s="216"/>
      <c r="EG243" s="216"/>
      <c r="EH243" s="216"/>
      <c r="EI243" s="216"/>
      <c r="EJ243" s="216"/>
      <c r="EK243" s="216"/>
      <c r="EL243" s="216"/>
      <c r="EM243" s="216"/>
      <c r="EN243" s="216"/>
      <c r="EO243" s="216"/>
      <c r="EP243" s="216"/>
      <c r="EQ243" s="216"/>
      <c r="ER243" s="216"/>
      <c r="ES243" s="216"/>
      <c r="ET243" s="216"/>
      <c r="EU243" s="216"/>
      <c r="EV243" s="216"/>
      <c r="EW243" s="216"/>
      <c r="EX243" s="216"/>
      <c r="EY243" s="216"/>
      <c r="EZ243" s="216"/>
      <c r="FA243" s="216"/>
      <c r="FB243" s="216"/>
      <c r="FC243" s="216"/>
      <c r="FD243" s="216"/>
      <c r="FE243" s="216"/>
      <c r="FF243" s="216"/>
      <c r="FG243" s="216"/>
      <c r="FH243" s="216"/>
      <c r="FI243" s="216"/>
      <c r="FJ243" s="216"/>
      <c r="FK243" s="216"/>
      <c r="FL243" s="216"/>
      <c r="FM243" s="216"/>
      <c r="FN243" s="216"/>
      <c r="FO243" s="216"/>
      <c r="FP243" s="216"/>
      <c r="FQ243" s="216"/>
      <c r="FR243" s="216"/>
      <c r="FS243" s="216"/>
      <c r="FT243" s="216"/>
      <c r="FU243" s="216"/>
      <c r="FV243" s="216"/>
      <c r="FW243" s="216"/>
      <c r="FX243" s="216"/>
      <c r="FY243" s="216"/>
      <c r="FZ243" s="216"/>
      <c r="GA243" s="216"/>
      <c r="GB243" s="216"/>
      <c r="GC243" s="216"/>
      <c r="GD243" s="216"/>
      <c r="GE243" s="216"/>
      <c r="GF243" s="216"/>
      <c r="GG243" s="216"/>
      <c r="GH243" s="216"/>
      <c r="GI243" s="216"/>
      <c r="GJ243" s="216"/>
      <c r="GK243" s="216"/>
      <c r="GL243" s="216"/>
      <c r="GM243" s="216"/>
      <c r="GN243" s="216"/>
      <c r="GO243" s="216"/>
      <c r="GP243" s="216"/>
      <c r="GQ243" s="216"/>
      <c r="GR243" s="216"/>
      <c r="GS243" s="216"/>
      <c r="GT243" s="216"/>
      <c r="GU243" s="216"/>
      <c r="GV243" s="216"/>
      <c r="GW243" s="216"/>
      <c r="GX243" s="216"/>
      <c r="GY243" s="216"/>
      <c r="GZ243" s="216"/>
      <c r="HA243" s="216"/>
      <c r="HB243" s="216"/>
      <c r="HC243" s="216"/>
      <c r="HD243" s="216"/>
      <c r="HE243" s="216"/>
      <c r="HF243" s="216"/>
      <c r="HG243" s="216"/>
      <c r="HH243" s="216"/>
      <c r="HI243" s="216"/>
      <c r="HJ243" s="216"/>
      <c r="HK243" s="216"/>
      <c r="HL243" s="216"/>
      <c r="HM243" s="216"/>
      <c r="HN243" s="216"/>
      <c r="HO243" s="216"/>
      <c r="HP243" s="216"/>
      <c r="HQ243" s="216"/>
      <c r="HR243" s="216"/>
      <c r="HS243" s="216"/>
      <c r="HT243" s="216"/>
      <c r="HU243" s="216"/>
      <c r="HV243" s="216"/>
      <c r="HW243" s="216"/>
      <c r="HX243" s="216"/>
      <c r="HY243" s="216"/>
      <c r="HZ243" s="216"/>
      <c r="IA243" s="216"/>
      <c r="IB243" s="216"/>
      <c r="IC243" s="216"/>
      <c r="ID243" s="216"/>
      <c r="IE243" s="216"/>
      <c r="IF243" s="216"/>
      <c r="IG243" s="216"/>
      <c r="IH243" s="216"/>
      <c r="II243" s="216"/>
      <c r="IJ243" s="216"/>
      <c r="IK243" s="216"/>
      <c r="IL243" s="216"/>
      <c r="IM243" s="216"/>
      <c r="IN243" s="216"/>
      <c r="IO243" s="216"/>
      <c r="IP243" s="216"/>
      <c r="IQ243" s="216"/>
      <c r="IR243" s="216"/>
      <c r="IS243" s="216"/>
      <c r="IT243" s="216"/>
      <c r="IU243" s="216"/>
    </row>
    <row r="244" spans="1:255" s="223" customFormat="1" ht="62.4" x14ac:dyDescent="0.3">
      <c r="A244" s="539"/>
      <c r="B244" s="229" t="s">
        <v>775</v>
      </c>
      <c r="C244" s="460" t="s">
        <v>776</v>
      </c>
      <c r="D244" s="260"/>
      <c r="E244" s="231" t="s">
        <v>358</v>
      </c>
      <c r="F244" s="238"/>
      <c r="G244" s="261"/>
      <c r="H244" s="262">
        <v>0</v>
      </c>
      <c r="I244" s="351">
        <v>18000000</v>
      </c>
      <c r="J244" s="262">
        <v>-18000000</v>
      </c>
      <c r="K244" s="369">
        <v>0</v>
      </c>
      <c r="L244" s="369">
        <v>0</v>
      </c>
      <c r="M244" s="369">
        <f t="shared" si="22"/>
        <v>0</v>
      </c>
      <c r="N244" s="369">
        <v>0</v>
      </c>
      <c r="O244" s="541">
        <f>SUM(O219:O243)</f>
        <v>48160000</v>
      </c>
      <c r="P244" s="541">
        <f>SUM(P219:P242)</f>
        <v>108626239</v>
      </c>
      <c r="Q244" s="218"/>
      <c r="R244" s="218"/>
      <c r="S244" s="218"/>
      <c r="T244" s="218"/>
      <c r="U244" s="218"/>
      <c r="V244" s="218"/>
      <c r="W244" s="218"/>
      <c r="X244" s="218"/>
      <c r="Y244" s="218"/>
      <c r="Z244" s="218"/>
      <c r="AA244" s="218"/>
      <c r="AB244" s="218"/>
      <c r="AC244" s="218"/>
      <c r="AD244" s="218"/>
      <c r="AE244" s="218"/>
      <c r="AF244" s="218"/>
      <c r="AG244" s="218"/>
      <c r="AH244" s="218"/>
      <c r="AI244" s="222"/>
      <c r="AJ244" s="222"/>
      <c r="AK244" s="222"/>
      <c r="AL244" s="222"/>
      <c r="AM244" s="222"/>
      <c r="AN244" s="222"/>
      <c r="AO244" s="222"/>
      <c r="AP244" s="222"/>
      <c r="AQ244" s="222"/>
      <c r="AR244" s="222"/>
      <c r="AS244" s="222"/>
      <c r="AT244" s="222"/>
      <c r="AU244" s="222"/>
      <c r="AV244" s="222"/>
      <c r="AW244" s="222"/>
      <c r="AX244" s="222"/>
      <c r="AY244" s="222"/>
      <c r="AZ244" s="222"/>
      <c r="BA244" s="222"/>
      <c r="BB244" s="222"/>
      <c r="BC244" s="222"/>
      <c r="BD244" s="222"/>
      <c r="BE244" s="222"/>
      <c r="BF244" s="222"/>
      <c r="BG244" s="222"/>
      <c r="BH244" s="222"/>
      <c r="BI244" s="222"/>
      <c r="BJ244" s="222"/>
      <c r="BK244" s="222"/>
      <c r="BL244" s="222"/>
      <c r="BM244" s="222"/>
      <c r="BN244" s="222"/>
      <c r="BO244" s="222"/>
      <c r="BP244" s="222"/>
      <c r="BQ244" s="222"/>
      <c r="BR244" s="222"/>
      <c r="BS244" s="222"/>
      <c r="BT244" s="222"/>
      <c r="BU244" s="222"/>
      <c r="BV244" s="222"/>
      <c r="BW244" s="222"/>
      <c r="BX244" s="222"/>
      <c r="BY244" s="222"/>
      <c r="BZ244" s="222"/>
      <c r="CA244" s="222"/>
      <c r="CB244" s="222"/>
      <c r="CC244" s="222"/>
      <c r="CD244" s="222"/>
      <c r="CE244" s="222"/>
      <c r="CF244" s="222"/>
      <c r="CG244" s="222"/>
      <c r="CH244" s="222"/>
      <c r="CI244" s="222"/>
      <c r="CJ244" s="222"/>
      <c r="CK244" s="222"/>
      <c r="CL244" s="222"/>
      <c r="CM244" s="222"/>
      <c r="CN244" s="222"/>
      <c r="CO244" s="222"/>
      <c r="CP244" s="222"/>
      <c r="CQ244" s="222"/>
      <c r="CR244" s="222"/>
      <c r="CS244" s="222"/>
      <c r="CT244" s="222"/>
      <c r="CU244" s="222"/>
      <c r="CV244" s="222"/>
      <c r="CW244" s="222"/>
      <c r="CX244" s="222"/>
      <c r="CY244" s="222"/>
      <c r="CZ244" s="222"/>
      <c r="DA244" s="222"/>
      <c r="DB244" s="222"/>
      <c r="DC244" s="222"/>
      <c r="DD244" s="222"/>
      <c r="DE244" s="222"/>
      <c r="DF244" s="222"/>
      <c r="DG244" s="222"/>
      <c r="DH244" s="222"/>
      <c r="DI244" s="222"/>
      <c r="DJ244" s="222"/>
      <c r="DK244" s="222"/>
      <c r="DL244" s="222"/>
      <c r="DM244" s="222"/>
      <c r="DN244" s="222"/>
      <c r="DO244" s="222"/>
      <c r="DP244" s="222"/>
      <c r="DQ244" s="222"/>
      <c r="DR244" s="222"/>
      <c r="DS244" s="222"/>
      <c r="DT244" s="222"/>
      <c r="DU244" s="222"/>
      <c r="DV244" s="222"/>
      <c r="DW244" s="222"/>
      <c r="DX244" s="222"/>
      <c r="DY244" s="222"/>
      <c r="DZ244" s="222"/>
      <c r="EA244" s="222"/>
      <c r="EB244" s="222"/>
      <c r="EC244" s="222"/>
      <c r="ED244" s="222"/>
      <c r="EE244" s="222"/>
      <c r="EF244" s="222"/>
      <c r="EG244" s="222"/>
      <c r="EH244" s="222"/>
      <c r="EI244" s="222"/>
      <c r="EJ244" s="222"/>
      <c r="EK244" s="222"/>
      <c r="EL244" s="222"/>
      <c r="EM244" s="222"/>
      <c r="EN244" s="222"/>
      <c r="EO244" s="222"/>
      <c r="EP244" s="222"/>
      <c r="EQ244" s="222"/>
      <c r="ER244" s="222"/>
      <c r="ES244" s="222"/>
      <c r="ET244" s="222"/>
      <c r="EU244" s="222"/>
      <c r="EV244" s="222"/>
      <c r="EW244" s="222"/>
      <c r="EX244" s="222"/>
      <c r="EY244" s="222"/>
      <c r="EZ244" s="222"/>
      <c r="FA244" s="222"/>
      <c r="FB244" s="222"/>
      <c r="FC244" s="222"/>
      <c r="FD244" s="222"/>
      <c r="FE244" s="222"/>
      <c r="FF244" s="222"/>
      <c r="FG244" s="222"/>
      <c r="FH244" s="222"/>
      <c r="FI244" s="222"/>
      <c r="FJ244" s="222"/>
      <c r="FK244" s="222"/>
      <c r="FL244" s="222"/>
      <c r="FM244" s="222"/>
      <c r="FN244" s="222"/>
      <c r="FO244" s="222"/>
      <c r="FP244" s="222"/>
      <c r="FQ244" s="222"/>
      <c r="FR244" s="222"/>
      <c r="FS244" s="222"/>
      <c r="FT244" s="222"/>
      <c r="FU244" s="222"/>
      <c r="FV244" s="222"/>
      <c r="FW244" s="222"/>
      <c r="FX244" s="222"/>
      <c r="FY244" s="222"/>
      <c r="FZ244" s="222"/>
      <c r="GA244" s="222"/>
      <c r="GB244" s="222"/>
      <c r="GC244" s="222"/>
      <c r="GD244" s="222"/>
      <c r="GE244" s="222"/>
      <c r="GF244" s="222"/>
      <c r="GG244" s="222"/>
      <c r="GH244" s="222"/>
      <c r="GI244" s="222"/>
      <c r="GJ244" s="222"/>
      <c r="GK244" s="222"/>
      <c r="GL244" s="222"/>
      <c r="GM244" s="222"/>
      <c r="GN244" s="222"/>
      <c r="GO244" s="222"/>
      <c r="GP244" s="222"/>
      <c r="GQ244" s="222"/>
      <c r="GR244" s="222"/>
      <c r="GS244" s="222"/>
      <c r="GT244" s="222"/>
      <c r="GU244" s="222"/>
      <c r="GV244" s="222"/>
      <c r="GW244" s="222"/>
      <c r="GX244" s="222"/>
      <c r="GY244" s="222"/>
      <c r="GZ244" s="222"/>
      <c r="HA244" s="222"/>
      <c r="HB244" s="222"/>
      <c r="HC244" s="222"/>
      <c r="HD244" s="222"/>
      <c r="HE244" s="222"/>
      <c r="HF244" s="222"/>
      <c r="HG244" s="222"/>
      <c r="HH244" s="222"/>
      <c r="HI244" s="222"/>
      <c r="HJ244" s="222"/>
      <c r="HK244" s="222"/>
      <c r="HL244" s="222"/>
      <c r="HM244" s="222"/>
      <c r="HN244" s="222"/>
      <c r="HO244" s="222"/>
      <c r="HP244" s="222"/>
      <c r="HQ244" s="222"/>
      <c r="HR244" s="222"/>
      <c r="HS244" s="222"/>
      <c r="HT244" s="222"/>
      <c r="HU244" s="222"/>
      <c r="HV244" s="222"/>
      <c r="HW244" s="222"/>
      <c r="HX244" s="222"/>
      <c r="HY244" s="222"/>
      <c r="HZ244" s="222"/>
      <c r="IA244" s="222"/>
      <c r="IB244" s="222"/>
      <c r="IC244" s="222"/>
      <c r="ID244" s="222"/>
      <c r="IE244" s="222"/>
      <c r="IF244" s="222"/>
      <c r="IG244" s="222"/>
      <c r="IH244" s="222"/>
      <c r="II244" s="222"/>
      <c r="IJ244" s="222"/>
      <c r="IK244" s="222"/>
      <c r="IL244" s="222"/>
      <c r="IM244" s="222"/>
      <c r="IN244" s="222"/>
      <c r="IO244" s="222"/>
      <c r="IP244" s="222"/>
      <c r="IQ244" s="222"/>
      <c r="IR244" s="222"/>
      <c r="IS244" s="222"/>
      <c r="IT244" s="222"/>
      <c r="IU244" s="222"/>
    </row>
    <row r="245" spans="1:255" s="223" customFormat="1" ht="46.8" x14ac:dyDescent="0.3">
      <c r="A245" s="539"/>
      <c r="B245" s="229" t="s">
        <v>777</v>
      </c>
      <c r="C245" s="460" t="s">
        <v>778</v>
      </c>
      <c r="D245" s="260"/>
      <c r="E245" s="238"/>
      <c r="F245" s="263"/>
      <c r="G245" s="264"/>
      <c r="H245" s="262"/>
      <c r="I245" s="265"/>
      <c r="J245" s="265"/>
      <c r="K245" s="369">
        <f>SUM(H245:J245)</f>
        <v>0</v>
      </c>
      <c r="L245" s="369">
        <v>0</v>
      </c>
      <c r="M245" s="369">
        <f t="shared" si="22"/>
        <v>0</v>
      </c>
      <c r="N245" s="369">
        <v>0</v>
      </c>
      <c r="O245" s="541"/>
      <c r="P245" s="541"/>
      <c r="Q245" s="218"/>
      <c r="R245" s="218"/>
      <c r="S245" s="218"/>
      <c r="T245" s="218"/>
      <c r="U245" s="218"/>
      <c r="V245" s="218"/>
      <c r="W245" s="218"/>
      <c r="X245" s="218"/>
      <c r="Y245" s="218"/>
      <c r="Z245" s="218"/>
      <c r="AA245" s="218"/>
      <c r="AB245" s="218"/>
      <c r="AC245" s="218"/>
      <c r="AD245" s="218"/>
      <c r="AE245" s="218"/>
      <c r="AF245" s="218"/>
      <c r="AG245" s="218"/>
      <c r="AH245" s="218"/>
      <c r="AI245" s="222"/>
      <c r="AJ245" s="222"/>
      <c r="AK245" s="222"/>
      <c r="AL245" s="222"/>
      <c r="AM245" s="222"/>
      <c r="AN245" s="222"/>
      <c r="AO245" s="222"/>
      <c r="AP245" s="222"/>
      <c r="AQ245" s="222"/>
      <c r="AR245" s="222"/>
      <c r="AS245" s="222"/>
      <c r="AT245" s="222"/>
      <c r="AU245" s="222"/>
      <c r="AV245" s="222"/>
      <c r="AW245" s="222"/>
      <c r="AX245" s="222"/>
      <c r="AY245" s="222"/>
      <c r="AZ245" s="222"/>
      <c r="BA245" s="222"/>
      <c r="BB245" s="222"/>
      <c r="BC245" s="222"/>
      <c r="BD245" s="222"/>
      <c r="BE245" s="222"/>
      <c r="BF245" s="222"/>
      <c r="BG245" s="222"/>
      <c r="BH245" s="222"/>
      <c r="BI245" s="222"/>
      <c r="BJ245" s="222"/>
      <c r="BK245" s="222"/>
      <c r="BL245" s="222"/>
      <c r="BM245" s="222"/>
      <c r="BN245" s="222"/>
      <c r="BO245" s="222"/>
      <c r="BP245" s="222"/>
      <c r="BQ245" s="222"/>
      <c r="BR245" s="222"/>
      <c r="BS245" s="222"/>
      <c r="BT245" s="222"/>
      <c r="BU245" s="222"/>
      <c r="BV245" s="222"/>
      <c r="BW245" s="222"/>
      <c r="BX245" s="222"/>
      <c r="BY245" s="222"/>
      <c r="BZ245" s="222"/>
      <c r="CA245" s="222"/>
      <c r="CB245" s="222"/>
      <c r="CC245" s="222"/>
      <c r="CD245" s="222"/>
      <c r="CE245" s="222"/>
      <c r="CF245" s="222"/>
      <c r="CG245" s="222"/>
      <c r="CH245" s="222"/>
      <c r="CI245" s="222"/>
      <c r="CJ245" s="222"/>
      <c r="CK245" s="222"/>
      <c r="CL245" s="222"/>
      <c r="CM245" s="222"/>
      <c r="CN245" s="222"/>
      <c r="CO245" s="222"/>
      <c r="CP245" s="222"/>
      <c r="CQ245" s="222"/>
      <c r="CR245" s="222"/>
      <c r="CS245" s="222"/>
      <c r="CT245" s="222"/>
      <c r="CU245" s="222"/>
      <c r="CV245" s="222"/>
      <c r="CW245" s="222"/>
      <c r="CX245" s="222"/>
      <c r="CY245" s="222"/>
      <c r="CZ245" s="222"/>
      <c r="DA245" s="222"/>
      <c r="DB245" s="222"/>
      <c r="DC245" s="222"/>
      <c r="DD245" s="222"/>
      <c r="DE245" s="222"/>
      <c r="DF245" s="222"/>
      <c r="DG245" s="222"/>
      <c r="DH245" s="222"/>
      <c r="DI245" s="222"/>
      <c r="DJ245" s="222"/>
      <c r="DK245" s="222"/>
      <c r="DL245" s="222"/>
      <c r="DM245" s="222"/>
      <c r="DN245" s="222"/>
      <c r="DO245" s="222"/>
      <c r="DP245" s="222"/>
      <c r="DQ245" s="222"/>
      <c r="DR245" s="222"/>
      <c r="DS245" s="222"/>
      <c r="DT245" s="222"/>
      <c r="DU245" s="222"/>
      <c r="DV245" s="222"/>
      <c r="DW245" s="222"/>
      <c r="DX245" s="222"/>
      <c r="DY245" s="222"/>
      <c r="DZ245" s="222"/>
      <c r="EA245" s="222"/>
      <c r="EB245" s="222"/>
      <c r="EC245" s="222"/>
      <c r="ED245" s="222"/>
      <c r="EE245" s="222"/>
      <c r="EF245" s="222"/>
      <c r="EG245" s="222"/>
      <c r="EH245" s="222"/>
      <c r="EI245" s="222"/>
      <c r="EJ245" s="222"/>
      <c r="EK245" s="222"/>
      <c r="EL245" s="222"/>
      <c r="EM245" s="222"/>
      <c r="EN245" s="222"/>
      <c r="EO245" s="222"/>
      <c r="EP245" s="222"/>
      <c r="EQ245" s="222"/>
      <c r="ER245" s="222"/>
      <c r="ES245" s="222"/>
      <c r="ET245" s="222"/>
      <c r="EU245" s="222"/>
      <c r="EV245" s="222"/>
      <c r="EW245" s="222"/>
      <c r="EX245" s="222"/>
      <c r="EY245" s="222"/>
      <c r="EZ245" s="222"/>
      <c r="FA245" s="222"/>
      <c r="FB245" s="222"/>
      <c r="FC245" s="222"/>
      <c r="FD245" s="222"/>
      <c r="FE245" s="222"/>
      <c r="FF245" s="222"/>
      <c r="FG245" s="222"/>
      <c r="FH245" s="222"/>
      <c r="FI245" s="222"/>
      <c r="FJ245" s="222"/>
      <c r="FK245" s="222"/>
      <c r="FL245" s="222"/>
      <c r="FM245" s="222"/>
      <c r="FN245" s="222"/>
      <c r="FO245" s="222"/>
      <c r="FP245" s="222"/>
      <c r="FQ245" s="222"/>
      <c r="FR245" s="222"/>
      <c r="FS245" s="222"/>
      <c r="FT245" s="222"/>
      <c r="FU245" s="222"/>
      <c r="FV245" s="222"/>
      <c r="FW245" s="222"/>
      <c r="FX245" s="222"/>
      <c r="FY245" s="222"/>
      <c r="FZ245" s="222"/>
      <c r="GA245" s="222"/>
      <c r="GB245" s="222"/>
      <c r="GC245" s="222"/>
      <c r="GD245" s="222"/>
      <c r="GE245" s="222"/>
      <c r="GF245" s="222"/>
      <c r="GG245" s="222"/>
      <c r="GH245" s="222"/>
      <c r="GI245" s="222"/>
      <c r="GJ245" s="222"/>
      <c r="GK245" s="222"/>
      <c r="GL245" s="222"/>
      <c r="GM245" s="222"/>
      <c r="GN245" s="222"/>
      <c r="GO245" s="222"/>
      <c r="GP245" s="222"/>
      <c r="GQ245" s="222"/>
      <c r="GR245" s="222"/>
      <c r="GS245" s="222"/>
      <c r="GT245" s="222"/>
      <c r="GU245" s="222"/>
      <c r="GV245" s="222"/>
      <c r="GW245" s="222"/>
      <c r="GX245" s="222"/>
      <c r="GY245" s="222"/>
      <c r="GZ245" s="222"/>
      <c r="HA245" s="222"/>
      <c r="HB245" s="222"/>
      <c r="HC245" s="222"/>
      <c r="HD245" s="222"/>
      <c r="HE245" s="222"/>
      <c r="HF245" s="222"/>
      <c r="HG245" s="222"/>
      <c r="HH245" s="222"/>
      <c r="HI245" s="222"/>
      <c r="HJ245" s="222"/>
      <c r="HK245" s="222"/>
      <c r="HL245" s="222"/>
      <c r="HM245" s="222"/>
      <c r="HN245" s="222"/>
      <c r="HO245" s="222"/>
      <c r="HP245" s="222"/>
      <c r="HQ245" s="222"/>
      <c r="HR245" s="222"/>
      <c r="HS245" s="222"/>
      <c r="HT245" s="222"/>
      <c r="HU245" s="222"/>
      <c r="HV245" s="222"/>
      <c r="HW245" s="222"/>
      <c r="HX245" s="222"/>
      <c r="HY245" s="222"/>
      <c r="HZ245" s="222"/>
      <c r="IA245" s="222"/>
      <c r="IB245" s="222"/>
      <c r="IC245" s="222"/>
      <c r="ID245" s="222"/>
      <c r="IE245" s="222"/>
      <c r="IF245" s="222"/>
      <c r="IG245" s="222"/>
      <c r="IH245" s="222"/>
      <c r="II245" s="222"/>
      <c r="IJ245" s="222"/>
      <c r="IK245" s="222"/>
      <c r="IL245" s="222"/>
      <c r="IM245" s="222"/>
      <c r="IN245" s="222"/>
      <c r="IO245" s="222"/>
      <c r="IP245" s="222"/>
      <c r="IQ245" s="222"/>
      <c r="IR245" s="222"/>
      <c r="IS245" s="222"/>
      <c r="IT245" s="222"/>
      <c r="IU245" s="222"/>
    </row>
    <row r="246" spans="1:255" s="221" customFormat="1" ht="46.8" x14ac:dyDescent="0.3">
      <c r="A246" s="542" t="s">
        <v>779</v>
      </c>
      <c r="B246" s="229" t="s">
        <v>780</v>
      </c>
      <c r="C246" s="460" t="s">
        <v>781</v>
      </c>
      <c r="D246" s="236">
        <v>42614</v>
      </c>
      <c r="E246" s="231" t="s">
        <v>782</v>
      </c>
      <c r="F246" s="232" t="s">
        <v>783</v>
      </c>
      <c r="G246" s="233" t="s">
        <v>678</v>
      </c>
      <c r="H246" s="543">
        <v>-257210</v>
      </c>
      <c r="I246" s="544">
        <v>6500000</v>
      </c>
      <c r="J246" s="544">
        <v>3757210</v>
      </c>
      <c r="K246" s="369">
        <f>SUM(H246:J249)</f>
        <v>10000000</v>
      </c>
      <c r="L246" s="369">
        <f>10090500-90500</f>
        <v>10000000</v>
      </c>
      <c r="M246" s="369">
        <f t="shared" si="22"/>
        <v>0</v>
      </c>
      <c r="N246" s="369">
        <v>0</v>
      </c>
      <c r="O246" s="369">
        <v>0</v>
      </c>
      <c r="P246" s="369">
        <f t="shared" si="23"/>
        <v>0</v>
      </c>
      <c r="Q246" s="218"/>
      <c r="R246" s="218"/>
      <c r="S246" s="218"/>
      <c r="T246" s="218"/>
      <c r="U246" s="218"/>
      <c r="V246" s="218"/>
      <c r="W246" s="218"/>
      <c r="X246" s="218"/>
      <c r="Y246" s="218"/>
      <c r="Z246" s="218"/>
      <c r="AA246" s="218"/>
      <c r="AB246" s="218"/>
      <c r="AC246" s="218"/>
      <c r="AD246" s="218"/>
      <c r="AE246" s="218"/>
      <c r="AF246" s="218"/>
      <c r="AG246" s="218"/>
      <c r="AH246" s="218"/>
      <c r="AI246" s="216"/>
      <c r="AJ246" s="216"/>
      <c r="AK246" s="216"/>
      <c r="AL246" s="216"/>
      <c r="AM246" s="216"/>
      <c r="AN246" s="216"/>
      <c r="AO246" s="216"/>
      <c r="AP246" s="216"/>
      <c r="AQ246" s="216"/>
      <c r="AR246" s="216"/>
      <c r="AS246" s="216"/>
      <c r="AT246" s="216"/>
      <c r="AU246" s="216"/>
      <c r="AV246" s="216"/>
      <c r="AW246" s="216"/>
      <c r="AX246" s="216"/>
      <c r="AY246" s="216"/>
      <c r="AZ246" s="216"/>
      <c r="BA246" s="216"/>
      <c r="BB246" s="216"/>
      <c r="BC246" s="216"/>
      <c r="BD246" s="216"/>
      <c r="BE246" s="216"/>
      <c r="BF246" s="216"/>
      <c r="BG246" s="216"/>
      <c r="BH246" s="216"/>
      <c r="BI246" s="216"/>
      <c r="BJ246" s="216"/>
      <c r="BK246" s="216"/>
      <c r="BL246" s="216"/>
      <c r="BM246" s="216"/>
      <c r="BN246" s="216"/>
      <c r="BO246" s="216"/>
      <c r="BP246" s="216"/>
      <c r="BQ246" s="216"/>
      <c r="BR246" s="216"/>
      <c r="BS246" s="216"/>
      <c r="BT246" s="216"/>
      <c r="BU246" s="216"/>
      <c r="BV246" s="216"/>
      <c r="BW246" s="216"/>
      <c r="BX246" s="216"/>
      <c r="BY246" s="216"/>
      <c r="BZ246" s="216"/>
      <c r="CA246" s="216"/>
      <c r="CB246" s="216"/>
      <c r="CC246" s="216"/>
      <c r="CD246" s="216"/>
      <c r="CE246" s="216"/>
      <c r="CF246" s="216"/>
      <c r="CG246" s="216"/>
      <c r="CH246" s="216"/>
      <c r="CI246" s="216"/>
      <c r="CJ246" s="216"/>
      <c r="CK246" s="216"/>
      <c r="CL246" s="216"/>
      <c r="CM246" s="216"/>
      <c r="CN246" s="216"/>
      <c r="CO246" s="216"/>
      <c r="CP246" s="216"/>
      <c r="CQ246" s="216"/>
      <c r="CR246" s="216"/>
      <c r="CS246" s="216"/>
      <c r="CT246" s="216"/>
      <c r="CU246" s="216"/>
      <c r="CV246" s="216"/>
      <c r="CW246" s="216"/>
      <c r="CX246" s="216"/>
      <c r="CY246" s="216"/>
      <c r="CZ246" s="216"/>
      <c r="DA246" s="216"/>
      <c r="DB246" s="216"/>
      <c r="DC246" s="216"/>
      <c r="DD246" s="216"/>
      <c r="DE246" s="216"/>
      <c r="DF246" s="216"/>
      <c r="DG246" s="216"/>
      <c r="DH246" s="216"/>
      <c r="DI246" s="216"/>
      <c r="DJ246" s="216"/>
      <c r="DK246" s="216"/>
      <c r="DL246" s="216"/>
      <c r="DM246" s="216"/>
      <c r="DN246" s="216"/>
      <c r="DO246" s="216"/>
      <c r="DP246" s="216"/>
      <c r="DQ246" s="216"/>
      <c r="DR246" s="216"/>
      <c r="DS246" s="216"/>
      <c r="DT246" s="216"/>
      <c r="DU246" s="216"/>
      <c r="DV246" s="216"/>
      <c r="DW246" s="216"/>
      <c r="DX246" s="216"/>
      <c r="DY246" s="216"/>
      <c r="DZ246" s="216"/>
      <c r="EA246" s="216"/>
      <c r="EB246" s="216"/>
      <c r="EC246" s="216"/>
      <c r="ED246" s="216"/>
      <c r="EE246" s="216"/>
      <c r="EF246" s="216"/>
      <c r="EG246" s="216"/>
      <c r="EH246" s="216"/>
      <c r="EI246" s="216"/>
      <c r="EJ246" s="216"/>
      <c r="EK246" s="216"/>
      <c r="EL246" s="216"/>
      <c r="EM246" s="216"/>
      <c r="EN246" s="216"/>
      <c r="EO246" s="216"/>
      <c r="EP246" s="216"/>
      <c r="EQ246" s="216"/>
      <c r="ER246" s="216"/>
      <c r="ES246" s="216"/>
      <c r="ET246" s="216"/>
      <c r="EU246" s="216"/>
      <c r="EV246" s="216"/>
      <c r="EW246" s="216"/>
      <c r="EX246" s="216"/>
      <c r="EY246" s="216"/>
      <c r="EZ246" s="216"/>
      <c r="FA246" s="216"/>
      <c r="FB246" s="216"/>
      <c r="FC246" s="216"/>
      <c r="FD246" s="216"/>
      <c r="FE246" s="216"/>
      <c r="FF246" s="216"/>
      <c r="FG246" s="216"/>
      <c r="FH246" s="216"/>
      <c r="FI246" s="216"/>
      <c r="FJ246" s="216"/>
      <c r="FK246" s="216"/>
      <c r="FL246" s="216"/>
      <c r="FM246" s="216"/>
      <c r="FN246" s="216"/>
      <c r="FO246" s="216"/>
      <c r="FP246" s="216"/>
      <c r="FQ246" s="216"/>
      <c r="FR246" s="216"/>
      <c r="FS246" s="216"/>
      <c r="FT246" s="216"/>
      <c r="FU246" s="216"/>
      <c r="FV246" s="216"/>
      <c r="FW246" s="216"/>
      <c r="FX246" s="216"/>
      <c r="FY246" s="216"/>
      <c r="FZ246" s="216"/>
      <c r="GA246" s="216"/>
      <c r="GB246" s="216"/>
      <c r="GC246" s="216"/>
      <c r="GD246" s="216"/>
      <c r="GE246" s="216"/>
      <c r="GF246" s="216"/>
      <c r="GG246" s="216"/>
      <c r="GH246" s="216"/>
      <c r="GI246" s="216"/>
      <c r="GJ246" s="216"/>
      <c r="GK246" s="216"/>
      <c r="GL246" s="216"/>
      <c r="GM246" s="216"/>
      <c r="GN246" s="216"/>
      <c r="GO246" s="216"/>
      <c r="GP246" s="216"/>
      <c r="GQ246" s="216"/>
      <c r="GR246" s="216"/>
      <c r="GS246" s="216"/>
      <c r="GT246" s="216"/>
      <c r="GU246" s="216"/>
      <c r="GV246" s="216"/>
      <c r="GW246" s="216"/>
      <c r="GX246" s="216"/>
      <c r="GY246" s="216"/>
      <c r="GZ246" s="216"/>
      <c r="HA246" s="216"/>
      <c r="HB246" s="216"/>
      <c r="HC246" s="216"/>
      <c r="HD246" s="216"/>
      <c r="HE246" s="216"/>
      <c r="HF246" s="216"/>
      <c r="HG246" s="216"/>
      <c r="HH246" s="216"/>
      <c r="HI246" s="216"/>
      <c r="HJ246" s="216"/>
      <c r="HK246" s="216"/>
      <c r="HL246" s="216"/>
      <c r="HM246" s="216"/>
      <c r="HN246" s="216"/>
      <c r="HO246" s="216"/>
      <c r="HP246" s="216"/>
      <c r="HQ246" s="216"/>
      <c r="HR246" s="216"/>
      <c r="HS246" s="216"/>
      <c r="HT246" s="216"/>
      <c r="HU246" s="216"/>
      <c r="HV246" s="216"/>
      <c r="HW246" s="216"/>
      <c r="HX246" s="216"/>
      <c r="HY246" s="216"/>
      <c r="HZ246" s="216"/>
      <c r="IA246" s="216"/>
      <c r="IB246" s="216"/>
      <c r="IC246" s="216"/>
      <c r="ID246" s="216"/>
      <c r="IE246" s="216"/>
      <c r="IF246" s="216"/>
      <c r="IG246" s="216"/>
      <c r="IH246" s="216"/>
      <c r="II246" s="216"/>
      <c r="IJ246" s="216"/>
      <c r="IK246" s="216"/>
      <c r="IL246" s="216"/>
      <c r="IM246" s="216"/>
      <c r="IN246" s="216"/>
      <c r="IO246" s="216"/>
      <c r="IP246" s="216"/>
      <c r="IQ246" s="216"/>
      <c r="IR246" s="216"/>
      <c r="IS246" s="216"/>
      <c r="IT246" s="216"/>
      <c r="IU246" s="216"/>
    </row>
    <row r="247" spans="1:255" s="221" customFormat="1" ht="46.8" x14ac:dyDescent="0.3">
      <c r="A247" s="539"/>
      <c r="B247" s="235" t="s">
        <v>784</v>
      </c>
      <c r="C247" s="256" t="s">
        <v>785</v>
      </c>
      <c r="D247" s="257">
        <v>42644</v>
      </c>
      <c r="E247" s="232" t="s">
        <v>786</v>
      </c>
      <c r="F247" s="232" t="s">
        <v>783</v>
      </c>
      <c r="G247" s="233" t="s">
        <v>678</v>
      </c>
      <c r="H247" s="539"/>
      <c r="I247" s="539"/>
      <c r="J247" s="539"/>
      <c r="K247" s="369">
        <v>0</v>
      </c>
      <c r="L247" s="369">
        <v>0</v>
      </c>
      <c r="M247" s="369">
        <v>0</v>
      </c>
      <c r="N247" s="369">
        <v>0</v>
      </c>
      <c r="O247" s="369">
        <v>0</v>
      </c>
      <c r="P247" s="369">
        <f t="shared" si="23"/>
        <v>0</v>
      </c>
      <c r="Q247" s="218"/>
      <c r="R247" s="218"/>
      <c r="S247" s="218"/>
      <c r="T247" s="218"/>
      <c r="U247" s="218"/>
      <c r="V247" s="218"/>
      <c r="W247" s="218"/>
      <c r="X247" s="218"/>
      <c r="Y247" s="218"/>
      <c r="Z247" s="218"/>
      <c r="AA247" s="218"/>
      <c r="AB247" s="218"/>
      <c r="AC247" s="218"/>
      <c r="AD247" s="218"/>
      <c r="AE247" s="218"/>
      <c r="AF247" s="218"/>
      <c r="AG247" s="218"/>
      <c r="AH247" s="218"/>
      <c r="AI247" s="216"/>
      <c r="AJ247" s="216"/>
      <c r="AK247" s="216"/>
      <c r="AL247" s="216"/>
      <c r="AM247" s="216"/>
      <c r="AN247" s="216"/>
      <c r="AO247" s="216"/>
      <c r="AP247" s="216"/>
      <c r="AQ247" s="216"/>
      <c r="AR247" s="216"/>
      <c r="AS247" s="216"/>
      <c r="AT247" s="216"/>
      <c r="AU247" s="216"/>
      <c r="AV247" s="216"/>
      <c r="AW247" s="216"/>
      <c r="AX247" s="216"/>
      <c r="AY247" s="216"/>
      <c r="AZ247" s="216"/>
      <c r="BA247" s="216"/>
      <c r="BB247" s="216"/>
      <c r="BC247" s="216"/>
      <c r="BD247" s="216"/>
      <c r="BE247" s="216"/>
      <c r="BF247" s="216"/>
      <c r="BG247" s="216"/>
      <c r="BH247" s="216"/>
      <c r="BI247" s="216"/>
      <c r="BJ247" s="216"/>
      <c r="BK247" s="216"/>
      <c r="BL247" s="216"/>
      <c r="BM247" s="216"/>
      <c r="BN247" s="216"/>
      <c r="BO247" s="216"/>
      <c r="BP247" s="216"/>
      <c r="BQ247" s="216"/>
      <c r="BR247" s="216"/>
      <c r="BS247" s="216"/>
      <c r="BT247" s="216"/>
      <c r="BU247" s="216"/>
      <c r="BV247" s="216"/>
      <c r="BW247" s="216"/>
      <c r="BX247" s="216"/>
      <c r="BY247" s="216"/>
      <c r="BZ247" s="216"/>
      <c r="CA247" s="216"/>
      <c r="CB247" s="216"/>
      <c r="CC247" s="216"/>
      <c r="CD247" s="216"/>
      <c r="CE247" s="216"/>
      <c r="CF247" s="216"/>
      <c r="CG247" s="216"/>
      <c r="CH247" s="216"/>
      <c r="CI247" s="216"/>
      <c r="CJ247" s="216"/>
      <c r="CK247" s="216"/>
      <c r="CL247" s="216"/>
      <c r="CM247" s="216"/>
      <c r="CN247" s="216"/>
      <c r="CO247" s="216"/>
      <c r="CP247" s="216"/>
      <c r="CQ247" s="216"/>
      <c r="CR247" s="216"/>
      <c r="CS247" s="216"/>
      <c r="CT247" s="216"/>
      <c r="CU247" s="216"/>
      <c r="CV247" s="216"/>
      <c r="CW247" s="216"/>
      <c r="CX247" s="216"/>
      <c r="CY247" s="216"/>
      <c r="CZ247" s="216"/>
      <c r="DA247" s="216"/>
      <c r="DB247" s="216"/>
      <c r="DC247" s="216"/>
      <c r="DD247" s="216"/>
      <c r="DE247" s="216"/>
      <c r="DF247" s="216"/>
      <c r="DG247" s="216"/>
      <c r="DH247" s="216"/>
      <c r="DI247" s="216"/>
      <c r="DJ247" s="216"/>
      <c r="DK247" s="216"/>
      <c r="DL247" s="216"/>
      <c r="DM247" s="216"/>
      <c r="DN247" s="216"/>
      <c r="DO247" s="216"/>
      <c r="DP247" s="216"/>
      <c r="DQ247" s="216"/>
      <c r="DR247" s="216"/>
      <c r="DS247" s="216"/>
      <c r="DT247" s="216"/>
      <c r="DU247" s="216"/>
      <c r="DV247" s="216"/>
      <c r="DW247" s="216"/>
      <c r="DX247" s="216"/>
      <c r="DY247" s="216"/>
      <c r="DZ247" s="216"/>
      <c r="EA247" s="216"/>
      <c r="EB247" s="216"/>
      <c r="EC247" s="216"/>
      <c r="ED247" s="216"/>
      <c r="EE247" s="216"/>
      <c r="EF247" s="216"/>
      <c r="EG247" s="216"/>
      <c r="EH247" s="216"/>
      <c r="EI247" s="216"/>
      <c r="EJ247" s="216"/>
      <c r="EK247" s="216"/>
      <c r="EL247" s="216"/>
      <c r="EM247" s="216"/>
      <c r="EN247" s="216"/>
      <c r="EO247" s="216"/>
      <c r="EP247" s="216"/>
      <c r="EQ247" s="216"/>
      <c r="ER247" s="216"/>
      <c r="ES247" s="216"/>
      <c r="ET247" s="216"/>
      <c r="EU247" s="216"/>
      <c r="EV247" s="216"/>
      <c r="EW247" s="216"/>
      <c r="EX247" s="216"/>
      <c r="EY247" s="216"/>
      <c r="EZ247" s="216"/>
      <c r="FA247" s="216"/>
      <c r="FB247" s="216"/>
      <c r="FC247" s="216"/>
      <c r="FD247" s="216"/>
      <c r="FE247" s="216"/>
      <c r="FF247" s="216"/>
      <c r="FG247" s="216"/>
      <c r="FH247" s="216"/>
      <c r="FI247" s="216"/>
      <c r="FJ247" s="216"/>
      <c r="FK247" s="216"/>
      <c r="FL247" s="216"/>
      <c r="FM247" s="216"/>
      <c r="FN247" s="216"/>
      <c r="FO247" s="216"/>
      <c r="FP247" s="216"/>
      <c r="FQ247" s="216"/>
      <c r="FR247" s="216"/>
      <c r="FS247" s="216"/>
      <c r="FT247" s="216"/>
      <c r="FU247" s="216"/>
      <c r="FV247" s="216"/>
      <c r="FW247" s="216"/>
      <c r="FX247" s="216"/>
      <c r="FY247" s="216"/>
      <c r="FZ247" s="216"/>
      <c r="GA247" s="216"/>
      <c r="GB247" s="216"/>
      <c r="GC247" s="216"/>
      <c r="GD247" s="216"/>
      <c r="GE247" s="216"/>
      <c r="GF247" s="216"/>
      <c r="GG247" s="216"/>
      <c r="GH247" s="216"/>
      <c r="GI247" s="216"/>
      <c r="GJ247" s="216"/>
      <c r="GK247" s="216"/>
      <c r="GL247" s="216"/>
      <c r="GM247" s="216"/>
      <c r="GN247" s="216"/>
      <c r="GO247" s="216"/>
      <c r="GP247" s="216"/>
      <c r="GQ247" s="216"/>
      <c r="GR247" s="216"/>
      <c r="GS247" s="216"/>
      <c r="GT247" s="216"/>
      <c r="GU247" s="216"/>
      <c r="GV247" s="216"/>
      <c r="GW247" s="216"/>
      <c r="GX247" s="216"/>
      <c r="GY247" s="216"/>
      <c r="GZ247" s="216"/>
      <c r="HA247" s="216"/>
      <c r="HB247" s="216"/>
      <c r="HC247" s="216"/>
      <c r="HD247" s="216"/>
      <c r="HE247" s="216"/>
      <c r="HF247" s="216"/>
      <c r="HG247" s="216"/>
      <c r="HH247" s="216"/>
      <c r="HI247" s="216"/>
      <c r="HJ247" s="216"/>
      <c r="HK247" s="216"/>
      <c r="HL247" s="216"/>
      <c r="HM247" s="216"/>
      <c r="HN247" s="216"/>
      <c r="HO247" s="216"/>
      <c r="HP247" s="216"/>
      <c r="HQ247" s="216"/>
      <c r="HR247" s="216"/>
      <c r="HS247" s="216"/>
      <c r="HT247" s="216"/>
      <c r="HU247" s="216"/>
      <c r="HV247" s="216"/>
      <c r="HW247" s="216"/>
      <c r="HX247" s="216"/>
      <c r="HY247" s="216"/>
      <c r="HZ247" s="216"/>
      <c r="IA247" s="216"/>
      <c r="IB247" s="216"/>
      <c r="IC247" s="216"/>
      <c r="ID247" s="216"/>
      <c r="IE247" s="216"/>
      <c r="IF247" s="216"/>
      <c r="IG247" s="216"/>
      <c r="IH247" s="216"/>
      <c r="II247" s="216"/>
      <c r="IJ247" s="216"/>
      <c r="IK247" s="216"/>
      <c r="IL247" s="216"/>
      <c r="IM247" s="216"/>
      <c r="IN247" s="216"/>
      <c r="IO247" s="216"/>
      <c r="IP247" s="216"/>
      <c r="IQ247" s="216"/>
      <c r="IR247" s="216"/>
      <c r="IS247" s="216"/>
      <c r="IT247" s="216"/>
      <c r="IU247" s="216"/>
    </row>
    <row r="248" spans="1:255" s="221" customFormat="1" ht="46.8" x14ac:dyDescent="0.3">
      <c r="A248" s="539"/>
      <c r="B248" s="235" t="s">
        <v>787</v>
      </c>
      <c r="C248" s="256" t="s">
        <v>788</v>
      </c>
      <c r="D248" s="257">
        <v>42675</v>
      </c>
      <c r="E248" s="232" t="s">
        <v>789</v>
      </c>
      <c r="F248" s="232" t="s">
        <v>783</v>
      </c>
      <c r="G248" s="233" t="s">
        <v>678</v>
      </c>
      <c r="H248" s="539"/>
      <c r="I248" s="539"/>
      <c r="J248" s="539"/>
      <c r="K248" s="369">
        <v>0</v>
      </c>
      <c r="L248" s="369">
        <v>0</v>
      </c>
      <c r="M248" s="369">
        <v>0</v>
      </c>
      <c r="N248" s="369">
        <v>0</v>
      </c>
      <c r="O248" s="369">
        <v>1800000</v>
      </c>
      <c r="P248" s="369">
        <f t="shared" si="23"/>
        <v>1800000</v>
      </c>
      <c r="Q248" s="218"/>
      <c r="R248" s="218"/>
      <c r="S248" s="218"/>
      <c r="T248" s="218"/>
      <c r="U248" s="218"/>
      <c r="V248" s="218"/>
      <c r="W248" s="218"/>
      <c r="X248" s="218"/>
      <c r="Y248" s="218"/>
      <c r="Z248" s="218"/>
      <c r="AA248" s="218"/>
      <c r="AB248" s="218"/>
      <c r="AC248" s="218"/>
      <c r="AD248" s="218"/>
      <c r="AE248" s="218"/>
      <c r="AF248" s="218"/>
      <c r="AG248" s="218"/>
      <c r="AH248" s="218"/>
      <c r="AI248" s="216"/>
      <c r="AJ248" s="216"/>
      <c r="AK248" s="216"/>
      <c r="AL248" s="216"/>
      <c r="AM248" s="216"/>
      <c r="AN248" s="216"/>
      <c r="AO248" s="216"/>
      <c r="AP248" s="216"/>
      <c r="AQ248" s="216"/>
      <c r="AR248" s="216"/>
      <c r="AS248" s="216"/>
      <c r="AT248" s="216"/>
      <c r="AU248" s="216"/>
      <c r="AV248" s="216"/>
      <c r="AW248" s="216"/>
      <c r="AX248" s="216"/>
      <c r="AY248" s="216"/>
      <c r="AZ248" s="216"/>
      <c r="BA248" s="216"/>
      <c r="BB248" s="216"/>
      <c r="BC248" s="216"/>
      <c r="BD248" s="216"/>
      <c r="BE248" s="216"/>
      <c r="BF248" s="216"/>
      <c r="BG248" s="216"/>
      <c r="BH248" s="216"/>
      <c r="BI248" s="216"/>
      <c r="BJ248" s="216"/>
      <c r="BK248" s="216"/>
      <c r="BL248" s="216"/>
      <c r="BM248" s="216"/>
      <c r="BN248" s="216"/>
      <c r="BO248" s="216"/>
      <c r="BP248" s="216"/>
      <c r="BQ248" s="216"/>
      <c r="BR248" s="216"/>
      <c r="BS248" s="216"/>
      <c r="BT248" s="216"/>
      <c r="BU248" s="216"/>
      <c r="BV248" s="216"/>
      <c r="BW248" s="216"/>
      <c r="BX248" s="216"/>
      <c r="BY248" s="216"/>
      <c r="BZ248" s="216"/>
      <c r="CA248" s="216"/>
      <c r="CB248" s="216"/>
      <c r="CC248" s="216"/>
      <c r="CD248" s="216"/>
      <c r="CE248" s="216"/>
      <c r="CF248" s="216"/>
      <c r="CG248" s="216"/>
      <c r="CH248" s="216"/>
      <c r="CI248" s="216"/>
      <c r="CJ248" s="216"/>
      <c r="CK248" s="216"/>
      <c r="CL248" s="216"/>
      <c r="CM248" s="216"/>
      <c r="CN248" s="216"/>
      <c r="CO248" s="216"/>
      <c r="CP248" s="216"/>
      <c r="CQ248" s="216"/>
      <c r="CR248" s="216"/>
      <c r="CS248" s="216"/>
      <c r="CT248" s="216"/>
      <c r="CU248" s="216"/>
      <c r="CV248" s="216"/>
      <c r="CW248" s="216"/>
      <c r="CX248" s="216"/>
      <c r="CY248" s="216"/>
      <c r="CZ248" s="216"/>
      <c r="DA248" s="216"/>
      <c r="DB248" s="216"/>
      <c r="DC248" s="216"/>
      <c r="DD248" s="216"/>
      <c r="DE248" s="216"/>
      <c r="DF248" s="216"/>
      <c r="DG248" s="216"/>
      <c r="DH248" s="216"/>
      <c r="DI248" s="216"/>
      <c r="DJ248" s="216"/>
      <c r="DK248" s="216"/>
      <c r="DL248" s="216"/>
      <c r="DM248" s="216"/>
      <c r="DN248" s="216"/>
      <c r="DO248" s="216"/>
      <c r="DP248" s="216"/>
      <c r="DQ248" s="216"/>
      <c r="DR248" s="216"/>
      <c r="DS248" s="216"/>
      <c r="DT248" s="216"/>
      <c r="DU248" s="216"/>
      <c r="DV248" s="216"/>
      <c r="DW248" s="216"/>
      <c r="DX248" s="216"/>
      <c r="DY248" s="216"/>
      <c r="DZ248" s="216"/>
      <c r="EA248" s="216"/>
      <c r="EB248" s="216"/>
      <c r="EC248" s="216"/>
      <c r="ED248" s="216"/>
      <c r="EE248" s="216"/>
      <c r="EF248" s="216"/>
      <c r="EG248" s="216"/>
      <c r="EH248" s="216"/>
      <c r="EI248" s="216"/>
      <c r="EJ248" s="216"/>
      <c r="EK248" s="216"/>
      <c r="EL248" s="216"/>
      <c r="EM248" s="216"/>
      <c r="EN248" s="216"/>
      <c r="EO248" s="216"/>
      <c r="EP248" s="216"/>
      <c r="EQ248" s="216"/>
      <c r="ER248" s="216"/>
      <c r="ES248" s="216"/>
      <c r="ET248" s="216"/>
      <c r="EU248" s="216"/>
      <c r="EV248" s="216"/>
      <c r="EW248" s="216"/>
      <c r="EX248" s="216"/>
      <c r="EY248" s="216"/>
      <c r="EZ248" s="216"/>
      <c r="FA248" s="216"/>
      <c r="FB248" s="216"/>
      <c r="FC248" s="216"/>
      <c r="FD248" s="216"/>
      <c r="FE248" s="216"/>
      <c r="FF248" s="216"/>
      <c r="FG248" s="216"/>
      <c r="FH248" s="216"/>
      <c r="FI248" s="216"/>
      <c r="FJ248" s="216"/>
      <c r="FK248" s="216"/>
      <c r="FL248" s="216"/>
      <c r="FM248" s="216"/>
      <c r="FN248" s="216"/>
      <c r="FO248" s="216"/>
      <c r="FP248" s="216"/>
      <c r="FQ248" s="216"/>
      <c r="FR248" s="216"/>
      <c r="FS248" s="216"/>
      <c r="FT248" s="216"/>
      <c r="FU248" s="216"/>
      <c r="FV248" s="216"/>
      <c r="FW248" s="216"/>
      <c r="FX248" s="216"/>
      <c r="FY248" s="216"/>
      <c r="FZ248" s="216"/>
      <c r="GA248" s="216"/>
      <c r="GB248" s="216"/>
      <c r="GC248" s="216"/>
      <c r="GD248" s="216"/>
      <c r="GE248" s="216"/>
      <c r="GF248" s="216"/>
      <c r="GG248" s="216"/>
      <c r="GH248" s="216"/>
      <c r="GI248" s="216"/>
      <c r="GJ248" s="216"/>
      <c r="GK248" s="216"/>
      <c r="GL248" s="216"/>
      <c r="GM248" s="216"/>
      <c r="GN248" s="216"/>
      <c r="GO248" s="216"/>
      <c r="GP248" s="216"/>
      <c r="GQ248" s="216"/>
      <c r="GR248" s="216"/>
      <c r="GS248" s="216"/>
      <c r="GT248" s="216"/>
      <c r="GU248" s="216"/>
      <c r="GV248" s="216"/>
      <c r="GW248" s="216"/>
      <c r="GX248" s="216"/>
      <c r="GY248" s="216"/>
      <c r="GZ248" s="216"/>
      <c r="HA248" s="216"/>
      <c r="HB248" s="216"/>
      <c r="HC248" s="216"/>
      <c r="HD248" s="216"/>
      <c r="HE248" s="216"/>
      <c r="HF248" s="216"/>
      <c r="HG248" s="216"/>
      <c r="HH248" s="216"/>
      <c r="HI248" s="216"/>
      <c r="HJ248" s="216"/>
      <c r="HK248" s="216"/>
      <c r="HL248" s="216"/>
      <c r="HM248" s="216"/>
      <c r="HN248" s="216"/>
      <c r="HO248" s="216"/>
      <c r="HP248" s="216"/>
      <c r="HQ248" s="216"/>
      <c r="HR248" s="216"/>
      <c r="HS248" s="216"/>
      <c r="HT248" s="216"/>
      <c r="HU248" s="216"/>
      <c r="HV248" s="216"/>
      <c r="HW248" s="216"/>
      <c r="HX248" s="216"/>
      <c r="HY248" s="216"/>
      <c r="HZ248" s="216"/>
      <c r="IA248" s="216"/>
      <c r="IB248" s="216"/>
      <c r="IC248" s="216"/>
      <c r="ID248" s="216"/>
      <c r="IE248" s="216"/>
      <c r="IF248" s="216"/>
      <c r="IG248" s="216"/>
      <c r="IH248" s="216"/>
      <c r="II248" s="216"/>
      <c r="IJ248" s="216"/>
      <c r="IK248" s="216"/>
      <c r="IL248" s="216"/>
      <c r="IM248" s="216"/>
      <c r="IN248" s="216"/>
      <c r="IO248" s="216"/>
      <c r="IP248" s="216"/>
      <c r="IQ248" s="216"/>
      <c r="IR248" s="216"/>
      <c r="IS248" s="216"/>
      <c r="IT248" s="216"/>
      <c r="IU248" s="216"/>
    </row>
    <row r="249" spans="1:255" s="221" customFormat="1" ht="46.8" x14ac:dyDescent="0.3">
      <c r="A249" s="539"/>
      <c r="B249" s="229" t="s">
        <v>790</v>
      </c>
      <c r="C249" s="460" t="s">
        <v>791</v>
      </c>
      <c r="D249" s="236">
        <v>42675</v>
      </c>
      <c r="E249" s="231" t="s">
        <v>792</v>
      </c>
      <c r="F249" s="232" t="s">
        <v>783</v>
      </c>
      <c r="G249" s="233" t="s">
        <v>678</v>
      </c>
      <c r="H249" s="539"/>
      <c r="I249" s="539"/>
      <c r="J249" s="539"/>
      <c r="K249" s="369">
        <v>0</v>
      </c>
      <c r="L249" s="369">
        <v>0</v>
      </c>
      <c r="M249" s="369">
        <v>0</v>
      </c>
      <c r="N249" s="369">
        <v>0</v>
      </c>
      <c r="O249" s="369">
        <v>0</v>
      </c>
      <c r="P249" s="369">
        <f t="shared" si="23"/>
        <v>0</v>
      </c>
      <c r="Q249" s="218"/>
      <c r="R249" s="218"/>
      <c r="S249" s="218"/>
      <c r="T249" s="218"/>
      <c r="U249" s="218"/>
      <c r="V249" s="218"/>
      <c r="W249" s="218"/>
      <c r="X249" s="218"/>
      <c r="Y249" s="218"/>
      <c r="Z249" s="218"/>
      <c r="AA249" s="218"/>
      <c r="AB249" s="218"/>
      <c r="AC249" s="218"/>
      <c r="AD249" s="218"/>
      <c r="AE249" s="218"/>
      <c r="AF249" s="218"/>
      <c r="AG249" s="218"/>
      <c r="AH249" s="218"/>
      <c r="AI249" s="216"/>
      <c r="AJ249" s="216"/>
      <c r="AK249" s="216"/>
      <c r="AL249" s="216"/>
      <c r="AM249" s="216"/>
      <c r="AN249" s="216"/>
      <c r="AO249" s="216"/>
      <c r="AP249" s="216"/>
      <c r="AQ249" s="216"/>
      <c r="AR249" s="216"/>
      <c r="AS249" s="216"/>
      <c r="AT249" s="216"/>
      <c r="AU249" s="216"/>
      <c r="AV249" s="216"/>
      <c r="AW249" s="216"/>
      <c r="AX249" s="216"/>
      <c r="AY249" s="216"/>
      <c r="AZ249" s="216"/>
      <c r="BA249" s="216"/>
      <c r="BB249" s="216"/>
      <c r="BC249" s="216"/>
      <c r="BD249" s="216"/>
      <c r="BE249" s="216"/>
      <c r="BF249" s="216"/>
      <c r="BG249" s="216"/>
      <c r="BH249" s="216"/>
      <c r="BI249" s="216"/>
      <c r="BJ249" s="216"/>
      <c r="BK249" s="216"/>
      <c r="BL249" s="216"/>
      <c r="BM249" s="216"/>
      <c r="BN249" s="216"/>
      <c r="BO249" s="216"/>
      <c r="BP249" s="216"/>
      <c r="BQ249" s="216"/>
      <c r="BR249" s="216"/>
      <c r="BS249" s="216"/>
      <c r="BT249" s="216"/>
      <c r="BU249" s="216"/>
      <c r="BV249" s="216"/>
      <c r="BW249" s="216"/>
      <c r="BX249" s="216"/>
      <c r="BY249" s="216"/>
      <c r="BZ249" s="216"/>
      <c r="CA249" s="216"/>
      <c r="CB249" s="216"/>
      <c r="CC249" s="216"/>
      <c r="CD249" s="216"/>
      <c r="CE249" s="216"/>
      <c r="CF249" s="216"/>
      <c r="CG249" s="216"/>
      <c r="CH249" s="216"/>
      <c r="CI249" s="216"/>
      <c r="CJ249" s="216"/>
      <c r="CK249" s="216"/>
      <c r="CL249" s="216"/>
      <c r="CM249" s="216"/>
      <c r="CN249" s="216"/>
      <c r="CO249" s="216"/>
      <c r="CP249" s="216"/>
      <c r="CQ249" s="216"/>
      <c r="CR249" s="216"/>
      <c r="CS249" s="216"/>
      <c r="CT249" s="216"/>
      <c r="CU249" s="216"/>
      <c r="CV249" s="216"/>
      <c r="CW249" s="216"/>
      <c r="CX249" s="216"/>
      <c r="CY249" s="216"/>
      <c r="CZ249" s="216"/>
      <c r="DA249" s="216"/>
      <c r="DB249" s="216"/>
      <c r="DC249" s="216"/>
      <c r="DD249" s="216"/>
      <c r="DE249" s="216"/>
      <c r="DF249" s="216"/>
      <c r="DG249" s="216"/>
      <c r="DH249" s="216"/>
      <c r="DI249" s="216"/>
      <c r="DJ249" s="216"/>
      <c r="DK249" s="216"/>
      <c r="DL249" s="216"/>
      <c r="DM249" s="216"/>
      <c r="DN249" s="216"/>
      <c r="DO249" s="216"/>
      <c r="DP249" s="216"/>
      <c r="DQ249" s="216"/>
      <c r="DR249" s="216"/>
      <c r="DS249" s="216"/>
      <c r="DT249" s="216"/>
      <c r="DU249" s="216"/>
      <c r="DV249" s="216"/>
      <c r="DW249" s="216"/>
      <c r="DX249" s="216"/>
      <c r="DY249" s="216"/>
      <c r="DZ249" s="216"/>
      <c r="EA249" s="216"/>
      <c r="EB249" s="216"/>
      <c r="EC249" s="216"/>
      <c r="ED249" s="216"/>
      <c r="EE249" s="216"/>
      <c r="EF249" s="216"/>
      <c r="EG249" s="216"/>
      <c r="EH249" s="216"/>
      <c r="EI249" s="216"/>
      <c r="EJ249" s="216"/>
      <c r="EK249" s="216"/>
      <c r="EL249" s="216"/>
      <c r="EM249" s="216"/>
      <c r="EN249" s="216"/>
      <c r="EO249" s="216"/>
      <c r="EP249" s="216"/>
      <c r="EQ249" s="216"/>
      <c r="ER249" s="216"/>
      <c r="ES249" s="216"/>
      <c r="ET249" s="216"/>
      <c r="EU249" s="216"/>
      <c r="EV249" s="216"/>
      <c r="EW249" s="216"/>
      <c r="EX249" s="216"/>
      <c r="EY249" s="216"/>
      <c r="EZ249" s="216"/>
      <c r="FA249" s="216"/>
      <c r="FB249" s="216"/>
      <c r="FC249" s="216"/>
      <c r="FD249" s="216"/>
      <c r="FE249" s="216"/>
      <c r="FF249" s="216"/>
      <c r="FG249" s="216"/>
      <c r="FH249" s="216"/>
      <c r="FI249" s="216"/>
      <c r="FJ249" s="216"/>
      <c r="FK249" s="216"/>
      <c r="FL249" s="216"/>
      <c r="FM249" s="216"/>
      <c r="FN249" s="216"/>
      <c r="FO249" s="216"/>
      <c r="FP249" s="216"/>
      <c r="FQ249" s="216"/>
      <c r="FR249" s="216"/>
      <c r="FS249" s="216"/>
      <c r="FT249" s="216"/>
      <c r="FU249" s="216"/>
      <c r="FV249" s="216"/>
      <c r="FW249" s="216"/>
      <c r="FX249" s="216"/>
      <c r="FY249" s="216"/>
      <c r="FZ249" s="216"/>
      <c r="GA249" s="216"/>
      <c r="GB249" s="216"/>
      <c r="GC249" s="216"/>
      <c r="GD249" s="216"/>
      <c r="GE249" s="216"/>
      <c r="GF249" s="216"/>
      <c r="GG249" s="216"/>
      <c r="GH249" s="216"/>
      <c r="GI249" s="216"/>
      <c r="GJ249" s="216"/>
      <c r="GK249" s="216"/>
      <c r="GL249" s="216"/>
      <c r="GM249" s="216"/>
      <c r="GN249" s="216"/>
      <c r="GO249" s="216"/>
      <c r="GP249" s="216"/>
      <c r="GQ249" s="216"/>
      <c r="GR249" s="216"/>
      <c r="GS249" s="216"/>
      <c r="GT249" s="216"/>
      <c r="GU249" s="216"/>
      <c r="GV249" s="216"/>
      <c r="GW249" s="216"/>
      <c r="GX249" s="216"/>
      <c r="GY249" s="216"/>
      <c r="GZ249" s="216"/>
      <c r="HA249" s="216"/>
      <c r="HB249" s="216"/>
      <c r="HC249" s="216"/>
      <c r="HD249" s="216"/>
      <c r="HE249" s="216"/>
      <c r="HF249" s="216"/>
      <c r="HG249" s="216"/>
      <c r="HH249" s="216"/>
      <c r="HI249" s="216"/>
      <c r="HJ249" s="216"/>
      <c r="HK249" s="216"/>
      <c r="HL249" s="216"/>
      <c r="HM249" s="216"/>
      <c r="HN249" s="216"/>
      <c r="HO249" s="216"/>
      <c r="HP249" s="216"/>
      <c r="HQ249" s="216"/>
      <c r="HR249" s="216"/>
      <c r="HS249" s="216"/>
      <c r="HT249" s="216"/>
      <c r="HU249" s="216"/>
      <c r="HV249" s="216"/>
      <c r="HW249" s="216"/>
      <c r="HX249" s="216"/>
      <c r="HY249" s="216"/>
      <c r="HZ249" s="216"/>
      <c r="IA249" s="216"/>
      <c r="IB249" s="216"/>
      <c r="IC249" s="216"/>
      <c r="ID249" s="216"/>
      <c r="IE249" s="216"/>
      <c r="IF249" s="216"/>
      <c r="IG249" s="216"/>
      <c r="IH249" s="216"/>
      <c r="II249" s="216"/>
      <c r="IJ249" s="216"/>
      <c r="IK249" s="216"/>
      <c r="IL249" s="216"/>
      <c r="IM249" s="216"/>
      <c r="IN249" s="216"/>
      <c r="IO249" s="216"/>
      <c r="IP249" s="216"/>
      <c r="IQ249" s="216"/>
      <c r="IR249" s="216"/>
      <c r="IS249" s="216"/>
      <c r="IT249" s="216"/>
      <c r="IU249" s="216"/>
    </row>
    <row r="250" spans="1:255" s="221" customFormat="1" ht="62.4" x14ac:dyDescent="0.3">
      <c r="A250" s="539"/>
      <c r="B250" s="235" t="s">
        <v>793</v>
      </c>
      <c r="C250" s="256" t="s">
        <v>794</v>
      </c>
      <c r="D250" s="233" t="s">
        <v>795</v>
      </c>
      <c r="E250" s="232" t="s">
        <v>796</v>
      </c>
      <c r="F250" s="232" t="s">
        <v>797</v>
      </c>
      <c r="G250" s="233" t="s">
        <v>762</v>
      </c>
      <c r="H250" s="234">
        <v>8575433</v>
      </c>
      <c r="I250" s="258">
        <v>32000000</v>
      </c>
      <c r="J250" s="234">
        <f>-21000000-100</f>
        <v>-21000100</v>
      </c>
      <c r="K250" s="369">
        <f>SUM(H250:J250)</f>
        <v>19575333</v>
      </c>
      <c r="L250" s="369">
        <f>23910725-4335392</f>
        <v>19575333</v>
      </c>
      <c r="M250" s="369">
        <f t="shared" ref="M250:M276" si="25">K250-L250</f>
        <v>0</v>
      </c>
      <c r="N250" s="369">
        <v>0</v>
      </c>
      <c r="O250" s="369">
        <f>25000000-O253-O252-O248</f>
        <v>19562450</v>
      </c>
      <c r="P250" s="369">
        <f t="shared" si="23"/>
        <v>19562450</v>
      </c>
      <c r="Q250" s="218"/>
      <c r="R250" s="218"/>
      <c r="S250" s="218"/>
      <c r="T250" s="218"/>
      <c r="U250" s="218"/>
      <c r="V250" s="218"/>
      <c r="W250" s="218"/>
      <c r="X250" s="218"/>
      <c r="Y250" s="218"/>
      <c r="Z250" s="218"/>
      <c r="AA250" s="218"/>
      <c r="AB250" s="218"/>
      <c r="AC250" s="218"/>
      <c r="AD250" s="218"/>
      <c r="AE250" s="218"/>
      <c r="AF250" s="218"/>
      <c r="AG250" s="218"/>
      <c r="AH250" s="218"/>
      <c r="AI250" s="216"/>
      <c r="AJ250" s="216"/>
      <c r="AK250" s="216"/>
      <c r="AL250" s="216"/>
      <c r="AM250" s="216"/>
      <c r="AN250" s="216"/>
      <c r="AO250" s="216"/>
      <c r="AP250" s="216"/>
      <c r="AQ250" s="216"/>
      <c r="AR250" s="216"/>
      <c r="AS250" s="216"/>
      <c r="AT250" s="216"/>
      <c r="AU250" s="216"/>
      <c r="AV250" s="216"/>
      <c r="AW250" s="216"/>
      <c r="AX250" s="216"/>
      <c r="AY250" s="216"/>
      <c r="AZ250" s="216"/>
      <c r="BA250" s="216"/>
      <c r="BB250" s="216"/>
      <c r="BC250" s="216"/>
      <c r="BD250" s="216"/>
      <c r="BE250" s="216"/>
      <c r="BF250" s="216"/>
      <c r="BG250" s="216"/>
      <c r="BH250" s="216"/>
      <c r="BI250" s="216"/>
      <c r="BJ250" s="216"/>
      <c r="BK250" s="216"/>
      <c r="BL250" s="216"/>
      <c r="BM250" s="216"/>
      <c r="BN250" s="216"/>
      <c r="BO250" s="216"/>
      <c r="BP250" s="216"/>
      <c r="BQ250" s="216"/>
      <c r="BR250" s="216"/>
      <c r="BS250" s="216"/>
      <c r="BT250" s="216"/>
      <c r="BU250" s="216"/>
      <c r="BV250" s="216"/>
      <c r="BW250" s="216"/>
      <c r="BX250" s="216"/>
      <c r="BY250" s="216"/>
      <c r="BZ250" s="216"/>
      <c r="CA250" s="216"/>
      <c r="CB250" s="216"/>
      <c r="CC250" s="216"/>
      <c r="CD250" s="216"/>
      <c r="CE250" s="216"/>
      <c r="CF250" s="216"/>
      <c r="CG250" s="216"/>
      <c r="CH250" s="216"/>
      <c r="CI250" s="216"/>
      <c r="CJ250" s="216"/>
      <c r="CK250" s="216"/>
      <c r="CL250" s="216"/>
      <c r="CM250" s="216"/>
      <c r="CN250" s="216"/>
      <c r="CO250" s="216"/>
      <c r="CP250" s="216"/>
      <c r="CQ250" s="216"/>
      <c r="CR250" s="216"/>
      <c r="CS250" s="216"/>
      <c r="CT250" s="216"/>
      <c r="CU250" s="216"/>
      <c r="CV250" s="216"/>
      <c r="CW250" s="216"/>
      <c r="CX250" s="216"/>
      <c r="CY250" s="216"/>
      <c r="CZ250" s="216"/>
      <c r="DA250" s="216"/>
      <c r="DB250" s="216"/>
      <c r="DC250" s="216"/>
      <c r="DD250" s="216"/>
      <c r="DE250" s="216"/>
      <c r="DF250" s="216"/>
      <c r="DG250" s="216"/>
      <c r="DH250" s="216"/>
      <c r="DI250" s="216"/>
      <c r="DJ250" s="216"/>
      <c r="DK250" s="216"/>
      <c r="DL250" s="216"/>
      <c r="DM250" s="216"/>
      <c r="DN250" s="216"/>
      <c r="DO250" s="216"/>
      <c r="DP250" s="216"/>
      <c r="DQ250" s="216"/>
      <c r="DR250" s="216"/>
      <c r="DS250" s="216"/>
      <c r="DT250" s="216"/>
      <c r="DU250" s="216"/>
      <c r="DV250" s="216"/>
      <c r="DW250" s="216"/>
      <c r="DX250" s="216"/>
      <c r="DY250" s="216"/>
      <c r="DZ250" s="216"/>
      <c r="EA250" s="216"/>
      <c r="EB250" s="216"/>
      <c r="EC250" s="216"/>
      <c r="ED250" s="216"/>
      <c r="EE250" s="216"/>
      <c r="EF250" s="216"/>
      <c r="EG250" s="216"/>
      <c r="EH250" s="216"/>
      <c r="EI250" s="216"/>
      <c r="EJ250" s="216"/>
      <c r="EK250" s="216"/>
      <c r="EL250" s="216"/>
      <c r="EM250" s="216"/>
      <c r="EN250" s="216"/>
      <c r="EO250" s="216"/>
      <c r="EP250" s="216"/>
      <c r="EQ250" s="216"/>
      <c r="ER250" s="216"/>
      <c r="ES250" s="216"/>
      <c r="ET250" s="216"/>
      <c r="EU250" s="216"/>
      <c r="EV250" s="216"/>
      <c r="EW250" s="216"/>
      <c r="EX250" s="216"/>
      <c r="EY250" s="216"/>
      <c r="EZ250" s="216"/>
      <c r="FA250" s="216"/>
      <c r="FB250" s="216"/>
      <c r="FC250" s="216"/>
      <c r="FD250" s="216"/>
      <c r="FE250" s="216"/>
      <c r="FF250" s="216"/>
      <c r="FG250" s="216"/>
      <c r="FH250" s="216"/>
      <c r="FI250" s="216"/>
      <c r="FJ250" s="216"/>
      <c r="FK250" s="216"/>
      <c r="FL250" s="216"/>
      <c r="FM250" s="216"/>
      <c r="FN250" s="216"/>
      <c r="FO250" s="216"/>
      <c r="FP250" s="216"/>
      <c r="FQ250" s="216"/>
      <c r="FR250" s="216"/>
      <c r="FS250" s="216"/>
      <c r="FT250" s="216"/>
      <c r="FU250" s="216"/>
      <c r="FV250" s="216"/>
      <c r="FW250" s="216"/>
      <c r="FX250" s="216"/>
      <c r="FY250" s="216"/>
      <c r="FZ250" s="216"/>
      <c r="GA250" s="216"/>
      <c r="GB250" s="216"/>
      <c r="GC250" s="216"/>
      <c r="GD250" s="216"/>
      <c r="GE250" s="216"/>
      <c r="GF250" s="216"/>
      <c r="GG250" s="216"/>
      <c r="GH250" s="216"/>
      <c r="GI250" s="216"/>
      <c r="GJ250" s="216"/>
      <c r="GK250" s="216"/>
      <c r="GL250" s="216"/>
      <c r="GM250" s="216"/>
      <c r="GN250" s="216"/>
      <c r="GO250" s="216"/>
      <c r="GP250" s="216"/>
      <c r="GQ250" s="216"/>
      <c r="GR250" s="216"/>
      <c r="GS250" s="216"/>
      <c r="GT250" s="216"/>
      <c r="GU250" s="216"/>
      <c r="GV250" s="216"/>
      <c r="GW250" s="216"/>
      <c r="GX250" s="216"/>
      <c r="GY250" s="216"/>
      <c r="GZ250" s="216"/>
      <c r="HA250" s="216"/>
      <c r="HB250" s="216"/>
      <c r="HC250" s="216"/>
      <c r="HD250" s="216"/>
      <c r="HE250" s="216"/>
      <c r="HF250" s="216"/>
      <c r="HG250" s="216"/>
      <c r="HH250" s="216"/>
      <c r="HI250" s="216"/>
      <c r="HJ250" s="216"/>
      <c r="HK250" s="216"/>
      <c r="HL250" s="216"/>
      <c r="HM250" s="216"/>
      <c r="HN250" s="216"/>
      <c r="HO250" s="216"/>
      <c r="HP250" s="216"/>
      <c r="HQ250" s="216"/>
      <c r="HR250" s="216"/>
      <c r="HS250" s="216"/>
      <c r="HT250" s="216"/>
      <c r="HU250" s="216"/>
      <c r="HV250" s="216"/>
      <c r="HW250" s="216"/>
      <c r="HX250" s="216"/>
      <c r="HY250" s="216"/>
      <c r="HZ250" s="216"/>
      <c r="IA250" s="216"/>
      <c r="IB250" s="216"/>
      <c r="IC250" s="216"/>
      <c r="ID250" s="216"/>
      <c r="IE250" s="216"/>
      <c r="IF250" s="216"/>
      <c r="IG250" s="216"/>
      <c r="IH250" s="216"/>
      <c r="II250" s="216"/>
      <c r="IJ250" s="216"/>
      <c r="IK250" s="216"/>
      <c r="IL250" s="216"/>
      <c r="IM250" s="216"/>
      <c r="IN250" s="216"/>
      <c r="IO250" s="216"/>
      <c r="IP250" s="216"/>
      <c r="IQ250" s="216"/>
      <c r="IR250" s="216"/>
      <c r="IS250" s="216"/>
      <c r="IT250" s="216"/>
      <c r="IU250" s="216"/>
    </row>
    <row r="251" spans="1:255" s="221" customFormat="1" ht="46.8" x14ac:dyDescent="0.3">
      <c r="A251" s="539"/>
      <c r="B251" s="229" t="s">
        <v>798</v>
      </c>
      <c r="C251" s="460" t="s">
        <v>799</v>
      </c>
      <c r="D251" s="230" t="s">
        <v>795</v>
      </c>
      <c r="E251" s="231" t="s">
        <v>800</v>
      </c>
      <c r="F251" s="232" t="s">
        <v>797</v>
      </c>
      <c r="G251" s="233" t="s">
        <v>678</v>
      </c>
      <c r="H251" s="234">
        <v>2000000</v>
      </c>
      <c r="I251" s="234">
        <v>0</v>
      </c>
      <c r="J251" s="234">
        <v>0</v>
      </c>
      <c r="K251" s="369">
        <f>SUM(H251:J251)</f>
        <v>2000000</v>
      </c>
      <c r="L251" s="369">
        <v>2000000</v>
      </c>
      <c r="M251" s="369">
        <f t="shared" si="25"/>
        <v>0</v>
      </c>
      <c r="N251" s="369">
        <v>0</v>
      </c>
      <c r="O251" s="369">
        <v>0</v>
      </c>
      <c r="P251" s="369">
        <f t="shared" si="23"/>
        <v>0</v>
      </c>
      <c r="Q251" s="218"/>
      <c r="R251" s="218"/>
      <c r="S251" s="218"/>
      <c r="T251" s="218"/>
      <c r="U251" s="218"/>
      <c r="V251" s="218"/>
      <c r="W251" s="218"/>
      <c r="X251" s="218"/>
      <c r="Y251" s="218"/>
      <c r="Z251" s="218"/>
      <c r="AA251" s="218"/>
      <c r="AB251" s="218"/>
      <c r="AC251" s="218"/>
      <c r="AD251" s="218"/>
      <c r="AE251" s="218"/>
      <c r="AF251" s="218"/>
      <c r="AG251" s="218"/>
      <c r="AH251" s="218"/>
      <c r="AI251" s="216"/>
      <c r="AJ251" s="216"/>
      <c r="AK251" s="216"/>
      <c r="AL251" s="216"/>
      <c r="AM251" s="216"/>
      <c r="AN251" s="216"/>
      <c r="AO251" s="216"/>
      <c r="AP251" s="216"/>
      <c r="AQ251" s="216"/>
      <c r="AR251" s="216"/>
      <c r="AS251" s="216"/>
      <c r="AT251" s="216"/>
      <c r="AU251" s="216"/>
      <c r="AV251" s="216"/>
      <c r="AW251" s="216"/>
      <c r="AX251" s="216"/>
      <c r="AY251" s="216"/>
      <c r="AZ251" s="216"/>
      <c r="BA251" s="216"/>
      <c r="BB251" s="216"/>
      <c r="BC251" s="216"/>
      <c r="BD251" s="216"/>
      <c r="BE251" s="216"/>
      <c r="BF251" s="216"/>
      <c r="BG251" s="216"/>
      <c r="BH251" s="216"/>
      <c r="BI251" s="216"/>
      <c r="BJ251" s="216"/>
      <c r="BK251" s="216"/>
      <c r="BL251" s="216"/>
      <c r="BM251" s="216"/>
      <c r="BN251" s="216"/>
      <c r="BO251" s="216"/>
      <c r="BP251" s="216"/>
      <c r="BQ251" s="216"/>
      <c r="BR251" s="216"/>
      <c r="BS251" s="216"/>
      <c r="BT251" s="216"/>
      <c r="BU251" s="216"/>
      <c r="BV251" s="216"/>
      <c r="BW251" s="216"/>
      <c r="BX251" s="216"/>
      <c r="BY251" s="216"/>
      <c r="BZ251" s="216"/>
      <c r="CA251" s="216"/>
      <c r="CB251" s="216"/>
      <c r="CC251" s="216"/>
      <c r="CD251" s="216"/>
      <c r="CE251" s="216"/>
      <c r="CF251" s="216"/>
      <c r="CG251" s="216"/>
      <c r="CH251" s="216"/>
      <c r="CI251" s="216"/>
      <c r="CJ251" s="216"/>
      <c r="CK251" s="216"/>
      <c r="CL251" s="216"/>
      <c r="CM251" s="216"/>
      <c r="CN251" s="216"/>
      <c r="CO251" s="216"/>
      <c r="CP251" s="216"/>
      <c r="CQ251" s="216"/>
      <c r="CR251" s="216"/>
      <c r="CS251" s="216"/>
      <c r="CT251" s="216"/>
      <c r="CU251" s="216"/>
      <c r="CV251" s="216"/>
      <c r="CW251" s="216"/>
      <c r="CX251" s="216"/>
      <c r="CY251" s="216"/>
      <c r="CZ251" s="216"/>
      <c r="DA251" s="216"/>
      <c r="DB251" s="216"/>
      <c r="DC251" s="216"/>
      <c r="DD251" s="216"/>
      <c r="DE251" s="216"/>
      <c r="DF251" s="216"/>
      <c r="DG251" s="216"/>
      <c r="DH251" s="216"/>
      <c r="DI251" s="216"/>
      <c r="DJ251" s="216"/>
      <c r="DK251" s="216"/>
      <c r="DL251" s="216"/>
      <c r="DM251" s="216"/>
      <c r="DN251" s="216"/>
      <c r="DO251" s="216"/>
      <c r="DP251" s="216"/>
      <c r="DQ251" s="216"/>
      <c r="DR251" s="216"/>
      <c r="DS251" s="216"/>
      <c r="DT251" s="216"/>
      <c r="DU251" s="216"/>
      <c r="DV251" s="216"/>
      <c r="DW251" s="216"/>
      <c r="DX251" s="216"/>
      <c r="DY251" s="216"/>
      <c r="DZ251" s="216"/>
      <c r="EA251" s="216"/>
      <c r="EB251" s="216"/>
      <c r="EC251" s="216"/>
      <c r="ED251" s="216"/>
      <c r="EE251" s="216"/>
      <c r="EF251" s="216"/>
      <c r="EG251" s="216"/>
      <c r="EH251" s="216"/>
      <c r="EI251" s="216"/>
      <c r="EJ251" s="216"/>
      <c r="EK251" s="216"/>
      <c r="EL251" s="216"/>
      <c r="EM251" s="216"/>
      <c r="EN251" s="216"/>
      <c r="EO251" s="216"/>
      <c r="EP251" s="216"/>
      <c r="EQ251" s="216"/>
      <c r="ER251" s="216"/>
      <c r="ES251" s="216"/>
      <c r="ET251" s="216"/>
      <c r="EU251" s="216"/>
      <c r="EV251" s="216"/>
      <c r="EW251" s="216"/>
      <c r="EX251" s="216"/>
      <c r="EY251" s="216"/>
      <c r="EZ251" s="216"/>
      <c r="FA251" s="216"/>
      <c r="FB251" s="216"/>
      <c r="FC251" s="216"/>
      <c r="FD251" s="216"/>
      <c r="FE251" s="216"/>
      <c r="FF251" s="216"/>
      <c r="FG251" s="216"/>
      <c r="FH251" s="216"/>
      <c r="FI251" s="216"/>
      <c r="FJ251" s="216"/>
      <c r="FK251" s="216"/>
      <c r="FL251" s="216"/>
      <c r="FM251" s="216"/>
      <c r="FN251" s="216"/>
      <c r="FO251" s="216"/>
      <c r="FP251" s="216"/>
      <c r="FQ251" s="216"/>
      <c r="FR251" s="216"/>
      <c r="FS251" s="216"/>
      <c r="FT251" s="216"/>
      <c r="FU251" s="216"/>
      <c r="FV251" s="216"/>
      <c r="FW251" s="216"/>
      <c r="FX251" s="216"/>
      <c r="FY251" s="216"/>
      <c r="FZ251" s="216"/>
      <c r="GA251" s="216"/>
      <c r="GB251" s="216"/>
      <c r="GC251" s="216"/>
      <c r="GD251" s="216"/>
      <c r="GE251" s="216"/>
      <c r="GF251" s="216"/>
      <c r="GG251" s="216"/>
      <c r="GH251" s="216"/>
      <c r="GI251" s="216"/>
      <c r="GJ251" s="216"/>
      <c r="GK251" s="216"/>
      <c r="GL251" s="216"/>
      <c r="GM251" s="216"/>
      <c r="GN251" s="216"/>
      <c r="GO251" s="216"/>
      <c r="GP251" s="216"/>
      <c r="GQ251" s="216"/>
      <c r="GR251" s="216"/>
      <c r="GS251" s="216"/>
      <c r="GT251" s="216"/>
      <c r="GU251" s="216"/>
      <c r="GV251" s="216"/>
      <c r="GW251" s="216"/>
      <c r="GX251" s="216"/>
      <c r="GY251" s="216"/>
      <c r="GZ251" s="216"/>
      <c r="HA251" s="216"/>
      <c r="HB251" s="216"/>
      <c r="HC251" s="216"/>
      <c r="HD251" s="216"/>
      <c r="HE251" s="216"/>
      <c r="HF251" s="216"/>
      <c r="HG251" s="216"/>
      <c r="HH251" s="216"/>
      <c r="HI251" s="216"/>
      <c r="HJ251" s="216"/>
      <c r="HK251" s="216"/>
      <c r="HL251" s="216"/>
      <c r="HM251" s="216"/>
      <c r="HN251" s="216"/>
      <c r="HO251" s="216"/>
      <c r="HP251" s="216"/>
      <c r="HQ251" s="216"/>
      <c r="HR251" s="216"/>
      <c r="HS251" s="216"/>
      <c r="HT251" s="216"/>
      <c r="HU251" s="216"/>
      <c r="HV251" s="216"/>
      <c r="HW251" s="216"/>
      <c r="HX251" s="216"/>
      <c r="HY251" s="216"/>
      <c r="HZ251" s="216"/>
      <c r="IA251" s="216"/>
      <c r="IB251" s="216"/>
      <c r="IC251" s="216"/>
      <c r="ID251" s="216"/>
      <c r="IE251" s="216"/>
      <c r="IF251" s="216"/>
      <c r="IG251" s="216"/>
      <c r="IH251" s="216"/>
      <c r="II251" s="216"/>
      <c r="IJ251" s="216"/>
      <c r="IK251" s="216"/>
      <c r="IL251" s="216"/>
      <c r="IM251" s="216"/>
      <c r="IN251" s="216"/>
      <c r="IO251" s="216"/>
      <c r="IP251" s="216"/>
      <c r="IQ251" s="216"/>
      <c r="IR251" s="216"/>
      <c r="IS251" s="216"/>
      <c r="IT251" s="216"/>
      <c r="IU251" s="216"/>
    </row>
    <row r="252" spans="1:255" s="221" customFormat="1" ht="62.4" x14ac:dyDescent="0.3">
      <c r="A252" s="539"/>
      <c r="B252" s="229" t="s">
        <v>801</v>
      </c>
      <c r="C252" s="460" t="s">
        <v>802</v>
      </c>
      <c r="D252" s="230" t="s">
        <v>795</v>
      </c>
      <c r="E252" s="231" t="s">
        <v>803</v>
      </c>
      <c r="F252" s="231" t="s">
        <v>804</v>
      </c>
      <c r="G252" s="230" t="s">
        <v>678</v>
      </c>
      <c r="H252" s="234">
        <v>2000000</v>
      </c>
      <c r="I252" s="234">
        <v>0</v>
      </c>
      <c r="J252" s="234">
        <v>-500000</v>
      </c>
      <c r="K252" s="369">
        <f>SUM(H252:J252)</f>
        <v>1500000</v>
      </c>
      <c r="L252" s="369">
        <f>1555200-55200</f>
        <v>1500000</v>
      </c>
      <c r="M252" s="369">
        <f t="shared" si="25"/>
        <v>0</v>
      </c>
      <c r="N252" s="369">
        <v>0</v>
      </c>
      <c r="O252" s="369">
        <v>1500000</v>
      </c>
      <c r="P252" s="369">
        <f t="shared" si="23"/>
        <v>1500000</v>
      </c>
      <c r="Q252" s="218"/>
      <c r="R252" s="218"/>
      <c r="S252" s="218"/>
      <c r="T252" s="218"/>
      <c r="U252" s="218"/>
      <c r="V252" s="218"/>
      <c r="W252" s="218"/>
      <c r="X252" s="218"/>
      <c r="Y252" s="218"/>
      <c r="Z252" s="218"/>
      <c r="AA252" s="218"/>
      <c r="AB252" s="218"/>
      <c r="AC252" s="218"/>
      <c r="AD252" s="218"/>
      <c r="AE252" s="218"/>
      <c r="AF252" s="218"/>
      <c r="AG252" s="218"/>
      <c r="AH252" s="218"/>
      <c r="AI252" s="216"/>
      <c r="AJ252" s="216"/>
      <c r="AK252" s="216"/>
      <c r="AL252" s="216"/>
      <c r="AM252" s="216"/>
      <c r="AN252" s="216"/>
      <c r="AO252" s="216"/>
      <c r="AP252" s="216"/>
      <c r="AQ252" s="216"/>
      <c r="AR252" s="216"/>
      <c r="AS252" s="216"/>
      <c r="AT252" s="216"/>
      <c r="AU252" s="216"/>
      <c r="AV252" s="216"/>
      <c r="AW252" s="216"/>
      <c r="AX252" s="216"/>
      <c r="AY252" s="216"/>
      <c r="AZ252" s="216"/>
      <c r="BA252" s="216"/>
      <c r="BB252" s="216"/>
      <c r="BC252" s="216"/>
      <c r="BD252" s="216"/>
      <c r="BE252" s="216"/>
      <c r="BF252" s="216"/>
      <c r="BG252" s="216"/>
      <c r="BH252" s="216"/>
      <c r="BI252" s="216"/>
      <c r="BJ252" s="216"/>
      <c r="BK252" s="216"/>
      <c r="BL252" s="216"/>
      <c r="BM252" s="216"/>
      <c r="BN252" s="216"/>
      <c r="BO252" s="216"/>
      <c r="BP252" s="216"/>
      <c r="BQ252" s="216"/>
      <c r="BR252" s="216"/>
      <c r="BS252" s="216"/>
      <c r="BT252" s="216"/>
      <c r="BU252" s="216"/>
      <c r="BV252" s="216"/>
      <c r="BW252" s="216"/>
      <c r="BX252" s="216"/>
      <c r="BY252" s="216"/>
      <c r="BZ252" s="216"/>
      <c r="CA252" s="216"/>
      <c r="CB252" s="216"/>
      <c r="CC252" s="216"/>
      <c r="CD252" s="216"/>
      <c r="CE252" s="216"/>
      <c r="CF252" s="216"/>
      <c r="CG252" s="216"/>
      <c r="CH252" s="216"/>
      <c r="CI252" s="216"/>
      <c r="CJ252" s="216"/>
      <c r="CK252" s="216"/>
      <c r="CL252" s="216"/>
      <c r="CM252" s="216"/>
      <c r="CN252" s="216"/>
      <c r="CO252" s="216"/>
      <c r="CP252" s="216"/>
      <c r="CQ252" s="216"/>
      <c r="CR252" s="216"/>
      <c r="CS252" s="216"/>
      <c r="CT252" s="216"/>
      <c r="CU252" s="216"/>
      <c r="CV252" s="216"/>
      <c r="CW252" s="216"/>
      <c r="CX252" s="216"/>
      <c r="CY252" s="216"/>
      <c r="CZ252" s="216"/>
      <c r="DA252" s="216"/>
      <c r="DB252" s="216"/>
      <c r="DC252" s="216"/>
      <c r="DD252" s="216"/>
      <c r="DE252" s="216"/>
      <c r="DF252" s="216"/>
      <c r="DG252" s="216"/>
      <c r="DH252" s="216"/>
      <c r="DI252" s="216"/>
      <c r="DJ252" s="216"/>
      <c r="DK252" s="216"/>
      <c r="DL252" s="216"/>
      <c r="DM252" s="216"/>
      <c r="DN252" s="216"/>
      <c r="DO252" s="216"/>
      <c r="DP252" s="216"/>
      <c r="DQ252" s="216"/>
      <c r="DR252" s="216"/>
      <c r="DS252" s="216"/>
      <c r="DT252" s="216"/>
      <c r="DU252" s="216"/>
      <c r="DV252" s="216"/>
      <c r="DW252" s="216"/>
      <c r="DX252" s="216"/>
      <c r="DY252" s="216"/>
      <c r="DZ252" s="216"/>
      <c r="EA252" s="216"/>
      <c r="EB252" s="216"/>
      <c r="EC252" s="216"/>
      <c r="ED252" s="216"/>
      <c r="EE252" s="216"/>
      <c r="EF252" s="216"/>
      <c r="EG252" s="216"/>
      <c r="EH252" s="216"/>
      <c r="EI252" s="216"/>
      <c r="EJ252" s="216"/>
      <c r="EK252" s="216"/>
      <c r="EL252" s="216"/>
      <c r="EM252" s="216"/>
      <c r="EN252" s="216"/>
      <c r="EO252" s="216"/>
      <c r="EP252" s="216"/>
      <c r="EQ252" s="216"/>
      <c r="ER252" s="216"/>
      <c r="ES252" s="216"/>
      <c r="ET252" s="216"/>
      <c r="EU252" s="216"/>
      <c r="EV252" s="216"/>
      <c r="EW252" s="216"/>
      <c r="EX252" s="216"/>
      <c r="EY252" s="216"/>
      <c r="EZ252" s="216"/>
      <c r="FA252" s="216"/>
      <c r="FB252" s="216"/>
      <c r="FC252" s="216"/>
      <c r="FD252" s="216"/>
      <c r="FE252" s="216"/>
      <c r="FF252" s="216"/>
      <c r="FG252" s="216"/>
      <c r="FH252" s="216"/>
      <c r="FI252" s="216"/>
      <c r="FJ252" s="216"/>
      <c r="FK252" s="216"/>
      <c r="FL252" s="216"/>
      <c r="FM252" s="216"/>
      <c r="FN252" s="216"/>
      <c r="FO252" s="216"/>
      <c r="FP252" s="216"/>
      <c r="FQ252" s="216"/>
      <c r="FR252" s="216"/>
      <c r="FS252" s="216"/>
      <c r="FT252" s="216"/>
      <c r="FU252" s="216"/>
      <c r="FV252" s="216"/>
      <c r="FW252" s="216"/>
      <c r="FX252" s="216"/>
      <c r="FY252" s="216"/>
      <c r="FZ252" s="216"/>
      <c r="GA252" s="216"/>
      <c r="GB252" s="216"/>
      <c r="GC252" s="216"/>
      <c r="GD252" s="216"/>
      <c r="GE252" s="216"/>
      <c r="GF252" s="216"/>
      <c r="GG252" s="216"/>
      <c r="GH252" s="216"/>
      <c r="GI252" s="216"/>
      <c r="GJ252" s="216"/>
      <c r="GK252" s="216"/>
      <c r="GL252" s="216"/>
      <c r="GM252" s="216"/>
      <c r="GN252" s="216"/>
      <c r="GO252" s="216"/>
      <c r="GP252" s="216"/>
      <c r="GQ252" s="216"/>
      <c r="GR252" s="216"/>
      <c r="GS252" s="216"/>
      <c r="GT252" s="216"/>
      <c r="GU252" s="216"/>
      <c r="GV252" s="216"/>
      <c r="GW252" s="216"/>
      <c r="GX252" s="216"/>
      <c r="GY252" s="216"/>
      <c r="GZ252" s="216"/>
      <c r="HA252" s="216"/>
      <c r="HB252" s="216"/>
      <c r="HC252" s="216"/>
      <c r="HD252" s="216"/>
      <c r="HE252" s="216"/>
      <c r="HF252" s="216"/>
      <c r="HG252" s="216"/>
      <c r="HH252" s="216"/>
      <c r="HI252" s="216"/>
      <c r="HJ252" s="216"/>
      <c r="HK252" s="216"/>
      <c r="HL252" s="216"/>
      <c r="HM252" s="216"/>
      <c r="HN252" s="216"/>
      <c r="HO252" s="216"/>
      <c r="HP252" s="216"/>
      <c r="HQ252" s="216"/>
      <c r="HR252" s="216"/>
      <c r="HS252" s="216"/>
      <c r="HT252" s="216"/>
      <c r="HU252" s="216"/>
      <c r="HV252" s="216"/>
      <c r="HW252" s="216"/>
      <c r="HX252" s="216"/>
      <c r="HY252" s="216"/>
      <c r="HZ252" s="216"/>
      <c r="IA252" s="216"/>
      <c r="IB252" s="216"/>
      <c r="IC252" s="216"/>
      <c r="ID252" s="216"/>
      <c r="IE252" s="216"/>
      <c r="IF252" s="216"/>
      <c r="IG252" s="216"/>
      <c r="IH252" s="216"/>
      <c r="II252" s="216"/>
      <c r="IJ252" s="216"/>
      <c r="IK252" s="216"/>
      <c r="IL252" s="216"/>
      <c r="IM252" s="216"/>
      <c r="IN252" s="216"/>
      <c r="IO252" s="216"/>
      <c r="IP252" s="216"/>
      <c r="IQ252" s="216"/>
      <c r="IR252" s="216"/>
      <c r="IS252" s="216"/>
      <c r="IT252" s="216"/>
      <c r="IU252" s="216"/>
    </row>
    <row r="253" spans="1:255" s="221" customFormat="1" ht="46.8" x14ac:dyDescent="0.3">
      <c r="A253" s="539"/>
      <c r="B253" s="229" t="s">
        <v>805</v>
      </c>
      <c r="C253" s="256" t="s">
        <v>806</v>
      </c>
      <c r="D253" s="233" t="s">
        <v>807</v>
      </c>
      <c r="E253" s="232" t="s">
        <v>808</v>
      </c>
      <c r="F253" s="232" t="s">
        <v>809</v>
      </c>
      <c r="G253" s="233" t="s">
        <v>762</v>
      </c>
      <c r="H253" s="234">
        <v>3876100</v>
      </c>
      <c r="I253" s="234">
        <v>0</v>
      </c>
      <c r="J253" s="234">
        <v>1123900</v>
      </c>
      <c r="K253" s="369">
        <v>5000000</v>
      </c>
      <c r="L253" s="369">
        <f>2376850+90500+55200</f>
        <v>2522550</v>
      </c>
      <c r="M253" s="369">
        <f t="shared" si="25"/>
        <v>2477450</v>
      </c>
      <c r="N253" s="369">
        <v>0</v>
      </c>
      <c r="O253" s="369">
        <v>2137550</v>
      </c>
      <c r="P253" s="369">
        <f t="shared" si="23"/>
        <v>4615000</v>
      </c>
      <c r="Q253" s="218"/>
      <c r="R253" s="218"/>
      <c r="S253" s="218"/>
      <c r="T253" s="218"/>
      <c r="U253" s="218"/>
      <c r="V253" s="218"/>
      <c r="W253" s="218"/>
      <c r="X253" s="218"/>
      <c r="Y253" s="218"/>
      <c r="Z253" s="218"/>
      <c r="AA253" s="218"/>
      <c r="AB253" s="218"/>
      <c r="AC253" s="218"/>
      <c r="AD253" s="218"/>
      <c r="AE253" s="218"/>
      <c r="AF253" s="218"/>
      <c r="AG253" s="218"/>
      <c r="AH253" s="218"/>
      <c r="AI253" s="216"/>
      <c r="AJ253" s="216"/>
      <c r="AK253" s="216"/>
      <c r="AL253" s="216"/>
      <c r="AM253" s="216"/>
      <c r="AN253" s="216"/>
      <c r="AO253" s="216"/>
      <c r="AP253" s="216"/>
      <c r="AQ253" s="216"/>
      <c r="AR253" s="216"/>
      <c r="AS253" s="216"/>
      <c r="AT253" s="216"/>
      <c r="AU253" s="216"/>
      <c r="AV253" s="216"/>
      <c r="AW253" s="216"/>
      <c r="AX253" s="216"/>
      <c r="AY253" s="216"/>
      <c r="AZ253" s="216"/>
      <c r="BA253" s="216"/>
      <c r="BB253" s="216"/>
      <c r="BC253" s="216"/>
      <c r="BD253" s="216"/>
      <c r="BE253" s="216"/>
      <c r="BF253" s="216"/>
      <c r="BG253" s="216"/>
      <c r="BH253" s="216"/>
      <c r="BI253" s="216"/>
      <c r="BJ253" s="216"/>
      <c r="BK253" s="216"/>
      <c r="BL253" s="216"/>
      <c r="BM253" s="216"/>
      <c r="BN253" s="216"/>
      <c r="BO253" s="216"/>
      <c r="BP253" s="216"/>
      <c r="BQ253" s="216"/>
      <c r="BR253" s="216"/>
      <c r="BS253" s="216"/>
      <c r="BT253" s="216"/>
      <c r="BU253" s="216"/>
      <c r="BV253" s="216"/>
      <c r="BW253" s="216"/>
      <c r="BX253" s="216"/>
      <c r="BY253" s="216"/>
      <c r="BZ253" s="216"/>
      <c r="CA253" s="216"/>
      <c r="CB253" s="216"/>
      <c r="CC253" s="216"/>
      <c r="CD253" s="216"/>
      <c r="CE253" s="216"/>
      <c r="CF253" s="216"/>
      <c r="CG253" s="216"/>
      <c r="CH253" s="216"/>
      <c r="CI253" s="216"/>
      <c r="CJ253" s="216"/>
      <c r="CK253" s="216"/>
      <c r="CL253" s="216"/>
      <c r="CM253" s="216"/>
      <c r="CN253" s="216"/>
      <c r="CO253" s="216"/>
      <c r="CP253" s="216"/>
      <c r="CQ253" s="216"/>
      <c r="CR253" s="216"/>
      <c r="CS253" s="216"/>
      <c r="CT253" s="216"/>
      <c r="CU253" s="216"/>
      <c r="CV253" s="216"/>
      <c r="CW253" s="216"/>
      <c r="CX253" s="216"/>
      <c r="CY253" s="216"/>
      <c r="CZ253" s="216"/>
      <c r="DA253" s="216"/>
      <c r="DB253" s="216"/>
      <c r="DC253" s="216"/>
      <c r="DD253" s="216"/>
      <c r="DE253" s="216"/>
      <c r="DF253" s="216"/>
      <c r="DG253" s="216"/>
      <c r="DH253" s="216"/>
      <c r="DI253" s="216"/>
      <c r="DJ253" s="216"/>
      <c r="DK253" s="216"/>
      <c r="DL253" s="216"/>
      <c r="DM253" s="216"/>
      <c r="DN253" s="216"/>
      <c r="DO253" s="216"/>
      <c r="DP253" s="216"/>
      <c r="DQ253" s="216"/>
      <c r="DR253" s="216"/>
      <c r="DS253" s="216"/>
      <c r="DT253" s="216"/>
      <c r="DU253" s="216"/>
      <c r="DV253" s="216"/>
      <c r="DW253" s="216"/>
      <c r="DX253" s="216"/>
      <c r="DY253" s="216"/>
      <c r="DZ253" s="216"/>
      <c r="EA253" s="216"/>
      <c r="EB253" s="216"/>
      <c r="EC253" s="216"/>
      <c r="ED253" s="216"/>
      <c r="EE253" s="216"/>
      <c r="EF253" s="216"/>
      <c r="EG253" s="216"/>
      <c r="EH253" s="216"/>
      <c r="EI253" s="216"/>
      <c r="EJ253" s="216"/>
      <c r="EK253" s="216"/>
      <c r="EL253" s="216"/>
      <c r="EM253" s="216"/>
      <c r="EN253" s="216"/>
      <c r="EO253" s="216"/>
      <c r="EP253" s="216"/>
      <c r="EQ253" s="216"/>
      <c r="ER253" s="216"/>
      <c r="ES253" s="216"/>
      <c r="ET253" s="216"/>
      <c r="EU253" s="216"/>
      <c r="EV253" s="216"/>
      <c r="EW253" s="216"/>
      <c r="EX253" s="216"/>
      <c r="EY253" s="216"/>
      <c r="EZ253" s="216"/>
      <c r="FA253" s="216"/>
      <c r="FB253" s="216"/>
      <c r="FC253" s="216"/>
      <c r="FD253" s="216"/>
      <c r="FE253" s="216"/>
      <c r="FF253" s="216"/>
      <c r="FG253" s="216"/>
      <c r="FH253" s="216"/>
      <c r="FI253" s="216"/>
      <c r="FJ253" s="216"/>
      <c r="FK253" s="216"/>
      <c r="FL253" s="216"/>
      <c r="FM253" s="216"/>
      <c r="FN253" s="216"/>
      <c r="FO253" s="216"/>
      <c r="FP253" s="216"/>
      <c r="FQ253" s="216"/>
      <c r="FR253" s="216"/>
      <c r="FS253" s="216"/>
      <c r="FT253" s="216"/>
      <c r="FU253" s="216"/>
      <c r="FV253" s="216"/>
      <c r="FW253" s="216"/>
      <c r="FX253" s="216"/>
      <c r="FY253" s="216"/>
      <c r="FZ253" s="216"/>
      <c r="GA253" s="216"/>
      <c r="GB253" s="216"/>
      <c r="GC253" s="216"/>
      <c r="GD253" s="216"/>
      <c r="GE253" s="216"/>
      <c r="GF253" s="216"/>
      <c r="GG253" s="216"/>
      <c r="GH253" s="216"/>
      <c r="GI253" s="216"/>
      <c r="GJ253" s="216"/>
      <c r="GK253" s="216"/>
      <c r="GL253" s="216"/>
      <c r="GM253" s="216"/>
      <c r="GN253" s="216"/>
      <c r="GO253" s="216"/>
      <c r="GP253" s="216"/>
      <c r="GQ253" s="216"/>
      <c r="GR253" s="216"/>
      <c r="GS253" s="216"/>
      <c r="GT253" s="216"/>
      <c r="GU253" s="216"/>
      <c r="GV253" s="216"/>
      <c r="GW253" s="216"/>
      <c r="GX253" s="216"/>
      <c r="GY253" s="216"/>
      <c r="GZ253" s="216"/>
      <c r="HA253" s="216"/>
      <c r="HB253" s="216"/>
      <c r="HC253" s="216"/>
      <c r="HD253" s="216"/>
      <c r="HE253" s="216"/>
      <c r="HF253" s="216"/>
      <c r="HG253" s="216"/>
      <c r="HH253" s="216"/>
      <c r="HI253" s="216"/>
      <c r="HJ253" s="216"/>
      <c r="HK253" s="216"/>
      <c r="HL253" s="216"/>
      <c r="HM253" s="216"/>
      <c r="HN253" s="216"/>
      <c r="HO253" s="216"/>
      <c r="HP253" s="216"/>
      <c r="HQ253" s="216"/>
      <c r="HR253" s="216"/>
      <c r="HS253" s="216"/>
      <c r="HT253" s="216"/>
      <c r="HU253" s="216"/>
      <c r="HV253" s="216"/>
      <c r="HW253" s="216"/>
      <c r="HX253" s="216"/>
      <c r="HY253" s="216"/>
      <c r="HZ253" s="216"/>
      <c r="IA253" s="216"/>
      <c r="IB253" s="216"/>
      <c r="IC253" s="216"/>
      <c r="ID253" s="216"/>
      <c r="IE253" s="216"/>
      <c r="IF253" s="216"/>
      <c r="IG253" s="216"/>
      <c r="IH253" s="216"/>
      <c r="II253" s="216"/>
      <c r="IJ253" s="216"/>
      <c r="IK253" s="216"/>
      <c r="IL253" s="216"/>
      <c r="IM253" s="216"/>
      <c r="IN253" s="216"/>
      <c r="IO253" s="216"/>
      <c r="IP253" s="216"/>
      <c r="IQ253" s="216"/>
      <c r="IR253" s="216"/>
      <c r="IS253" s="216"/>
      <c r="IT253" s="216"/>
      <c r="IU253" s="216"/>
    </row>
    <row r="254" spans="1:255" s="226" customFormat="1" ht="78" x14ac:dyDescent="0.3">
      <c r="A254" s="539"/>
      <c r="B254" s="230" t="s">
        <v>810</v>
      </c>
      <c r="C254" s="463" t="s">
        <v>811</v>
      </c>
      <c r="D254" s="261"/>
      <c r="E254" s="238"/>
      <c r="F254" s="238"/>
      <c r="G254" s="261"/>
      <c r="H254" s="262"/>
      <c r="I254" s="265"/>
      <c r="J254" s="262"/>
      <c r="K254" s="369">
        <v>0</v>
      </c>
      <c r="L254" s="369">
        <v>0</v>
      </c>
      <c r="M254" s="369">
        <f t="shared" si="25"/>
        <v>0</v>
      </c>
      <c r="N254" s="369">
        <v>0</v>
      </c>
      <c r="O254" s="369">
        <f>SUM(O248:O253)</f>
        <v>25000000</v>
      </c>
      <c r="P254" s="369" t="s">
        <v>242</v>
      </c>
      <c r="Q254" s="224"/>
      <c r="R254" s="224"/>
      <c r="S254" s="224"/>
      <c r="T254" s="224"/>
      <c r="U254" s="224"/>
      <c r="V254" s="224"/>
      <c r="W254" s="224"/>
      <c r="X254" s="224"/>
      <c r="Y254" s="224"/>
      <c r="Z254" s="224"/>
      <c r="AA254" s="224"/>
      <c r="AB254" s="224"/>
      <c r="AC254" s="224"/>
      <c r="AD254" s="224"/>
      <c r="AE254" s="224"/>
      <c r="AF254" s="224"/>
      <c r="AG254" s="224"/>
      <c r="AH254" s="224"/>
      <c r="AI254" s="225"/>
      <c r="AJ254" s="225"/>
      <c r="AK254" s="225"/>
      <c r="AL254" s="225"/>
      <c r="AM254" s="225"/>
      <c r="AN254" s="225"/>
      <c r="AO254" s="225"/>
      <c r="AP254" s="225"/>
      <c r="AQ254" s="225"/>
      <c r="AR254" s="225"/>
      <c r="AS254" s="225"/>
      <c r="AT254" s="225"/>
      <c r="AU254" s="225"/>
      <c r="AV254" s="225"/>
      <c r="AW254" s="225"/>
      <c r="AX254" s="225"/>
      <c r="AY254" s="225"/>
      <c r="AZ254" s="225"/>
      <c r="BA254" s="225"/>
      <c r="BB254" s="225"/>
      <c r="BC254" s="225"/>
      <c r="BD254" s="225"/>
      <c r="BE254" s="225"/>
      <c r="BF254" s="225"/>
      <c r="BG254" s="225"/>
      <c r="BH254" s="225"/>
      <c r="BI254" s="225"/>
      <c r="BJ254" s="225"/>
      <c r="BK254" s="225"/>
      <c r="BL254" s="225"/>
      <c r="BM254" s="225"/>
      <c r="BN254" s="225"/>
      <c r="BO254" s="225"/>
      <c r="BP254" s="225"/>
      <c r="BQ254" s="225"/>
      <c r="BR254" s="225"/>
      <c r="BS254" s="225"/>
      <c r="BT254" s="225"/>
      <c r="BU254" s="225"/>
      <c r="BV254" s="225"/>
      <c r="BW254" s="225"/>
      <c r="BX254" s="225"/>
      <c r="BY254" s="225"/>
      <c r="BZ254" s="225"/>
      <c r="CA254" s="225"/>
      <c r="CB254" s="225"/>
      <c r="CC254" s="225"/>
      <c r="CD254" s="225"/>
      <c r="CE254" s="225"/>
      <c r="CF254" s="225"/>
      <c r="CG254" s="225"/>
      <c r="CH254" s="225"/>
      <c r="CI254" s="225"/>
      <c r="CJ254" s="225"/>
      <c r="CK254" s="225"/>
      <c r="CL254" s="225"/>
      <c r="CM254" s="225"/>
      <c r="CN254" s="225"/>
      <c r="CO254" s="225"/>
      <c r="CP254" s="225"/>
      <c r="CQ254" s="225"/>
      <c r="CR254" s="225"/>
      <c r="CS254" s="225"/>
      <c r="CT254" s="225"/>
      <c r="CU254" s="225"/>
      <c r="CV254" s="225"/>
      <c r="CW254" s="225"/>
      <c r="CX254" s="225"/>
      <c r="CY254" s="225"/>
      <c r="CZ254" s="225"/>
      <c r="DA254" s="225"/>
      <c r="DB254" s="225"/>
      <c r="DC254" s="225"/>
      <c r="DD254" s="225"/>
      <c r="DE254" s="225"/>
      <c r="DF254" s="225"/>
      <c r="DG254" s="225"/>
      <c r="DH254" s="225"/>
      <c r="DI254" s="225"/>
      <c r="DJ254" s="225"/>
      <c r="DK254" s="225"/>
      <c r="DL254" s="225"/>
      <c r="DM254" s="225"/>
      <c r="DN254" s="225"/>
      <c r="DO254" s="225"/>
      <c r="DP254" s="225"/>
      <c r="DQ254" s="225"/>
      <c r="DR254" s="225"/>
      <c r="DS254" s="225"/>
      <c r="DT254" s="225"/>
      <c r="DU254" s="225"/>
      <c r="DV254" s="225"/>
      <c r="DW254" s="225"/>
      <c r="DX254" s="225"/>
      <c r="DY254" s="225"/>
      <c r="DZ254" s="225"/>
      <c r="EA254" s="225"/>
      <c r="EB254" s="225"/>
      <c r="EC254" s="225"/>
      <c r="ED254" s="225"/>
      <c r="EE254" s="225"/>
      <c r="EF254" s="225"/>
      <c r="EG254" s="225"/>
      <c r="EH254" s="225"/>
      <c r="EI254" s="225"/>
      <c r="EJ254" s="225"/>
      <c r="EK254" s="225"/>
      <c r="EL254" s="225"/>
      <c r="EM254" s="225"/>
      <c r="EN254" s="225"/>
      <c r="EO254" s="225"/>
      <c r="EP254" s="225"/>
      <c r="EQ254" s="225"/>
      <c r="ER254" s="225"/>
      <c r="ES254" s="225"/>
      <c r="ET254" s="225"/>
      <c r="EU254" s="225"/>
      <c r="EV254" s="225"/>
      <c r="EW254" s="225"/>
      <c r="EX254" s="225"/>
      <c r="EY254" s="225"/>
      <c r="EZ254" s="225"/>
      <c r="FA254" s="225"/>
      <c r="FB254" s="225"/>
      <c r="FC254" s="225"/>
      <c r="FD254" s="225"/>
      <c r="FE254" s="225"/>
      <c r="FF254" s="225"/>
      <c r="FG254" s="225"/>
      <c r="FH254" s="225"/>
      <c r="FI254" s="225"/>
      <c r="FJ254" s="225"/>
      <c r="FK254" s="225"/>
      <c r="FL254" s="225"/>
      <c r="FM254" s="225"/>
      <c r="FN254" s="225"/>
      <c r="FO254" s="225"/>
      <c r="FP254" s="225"/>
      <c r="FQ254" s="225"/>
      <c r="FR254" s="225"/>
      <c r="FS254" s="225"/>
      <c r="FT254" s="225"/>
      <c r="FU254" s="225"/>
      <c r="FV254" s="225"/>
      <c r="FW254" s="225"/>
      <c r="FX254" s="225"/>
      <c r="FY254" s="225"/>
      <c r="FZ254" s="225"/>
      <c r="GA254" s="225"/>
      <c r="GB254" s="225"/>
      <c r="GC254" s="225"/>
      <c r="GD254" s="225"/>
      <c r="GE254" s="225"/>
      <c r="GF254" s="225"/>
      <c r="GG254" s="225"/>
      <c r="GH254" s="225"/>
      <c r="GI254" s="225"/>
      <c r="GJ254" s="225"/>
      <c r="GK254" s="225"/>
      <c r="GL254" s="225"/>
      <c r="GM254" s="225"/>
      <c r="GN254" s="225"/>
      <c r="GO254" s="225"/>
      <c r="GP254" s="225"/>
      <c r="GQ254" s="225"/>
      <c r="GR254" s="225"/>
      <c r="GS254" s="225"/>
      <c r="GT254" s="225"/>
      <c r="GU254" s="225"/>
      <c r="GV254" s="225"/>
      <c r="GW254" s="225"/>
      <c r="GX254" s="225"/>
      <c r="GY254" s="225"/>
      <c r="GZ254" s="225"/>
      <c r="HA254" s="225"/>
      <c r="HB254" s="225"/>
      <c r="HC254" s="225"/>
      <c r="HD254" s="225"/>
      <c r="HE254" s="225"/>
      <c r="HF254" s="225"/>
      <c r="HG254" s="225"/>
      <c r="HH254" s="225"/>
      <c r="HI254" s="225"/>
      <c r="HJ254" s="225"/>
      <c r="HK254" s="225"/>
      <c r="HL254" s="225"/>
      <c r="HM254" s="225"/>
      <c r="HN254" s="225"/>
      <c r="HO254" s="225"/>
      <c r="HP254" s="225"/>
      <c r="HQ254" s="225"/>
      <c r="HR254" s="225"/>
      <c r="HS254" s="225"/>
      <c r="HT254" s="225"/>
      <c r="HU254" s="225"/>
      <c r="HV254" s="225"/>
      <c r="HW254" s="225"/>
      <c r="HX254" s="225"/>
      <c r="HY254" s="225"/>
      <c r="HZ254" s="225"/>
      <c r="IA254" s="225"/>
      <c r="IB254" s="225"/>
      <c r="IC254" s="225"/>
      <c r="ID254" s="225"/>
      <c r="IE254" s="225"/>
      <c r="IF254" s="225"/>
      <c r="IG254" s="225"/>
      <c r="IH254" s="225"/>
      <c r="II254" s="225"/>
      <c r="IJ254" s="225"/>
      <c r="IK254" s="225"/>
      <c r="IL254" s="225"/>
      <c r="IM254" s="225"/>
      <c r="IN254" s="225"/>
      <c r="IO254" s="225"/>
      <c r="IP254" s="225"/>
      <c r="IQ254" s="225"/>
      <c r="IR254" s="225"/>
      <c r="IS254" s="225"/>
      <c r="IT254" s="225"/>
      <c r="IU254" s="225"/>
    </row>
    <row r="255" spans="1:255" s="227" customFormat="1" ht="31.2" x14ac:dyDescent="0.3">
      <c r="A255" s="542" t="s">
        <v>812</v>
      </c>
      <c r="B255" s="229" t="s">
        <v>813</v>
      </c>
      <c r="C255" s="460" t="s">
        <v>814</v>
      </c>
      <c r="D255" s="230" t="s">
        <v>695</v>
      </c>
      <c r="E255" s="231" t="s">
        <v>815</v>
      </c>
      <c r="F255" s="232" t="s">
        <v>816</v>
      </c>
      <c r="G255" s="233" t="s">
        <v>697</v>
      </c>
      <c r="H255" s="234">
        <v>4240000</v>
      </c>
      <c r="I255" s="544">
        <v>20000000</v>
      </c>
      <c r="J255" s="234">
        <f>3890000+1800000</f>
        <v>5690000</v>
      </c>
      <c r="K255" s="369">
        <f t="shared" ref="K255:K261" si="26">J255+H255</f>
        <v>9930000</v>
      </c>
      <c r="L255" s="369">
        <f>1630000+4335392-1195000</f>
        <v>4770392</v>
      </c>
      <c r="M255" s="369">
        <f t="shared" si="25"/>
        <v>5159608</v>
      </c>
      <c r="N255" s="369">
        <v>0</v>
      </c>
      <c r="O255" s="369">
        <v>0</v>
      </c>
      <c r="P255" s="369">
        <f t="shared" si="23"/>
        <v>5159608</v>
      </c>
      <c r="Q255" s="224"/>
      <c r="R255" s="224"/>
      <c r="S255" s="224"/>
      <c r="T255" s="224"/>
      <c r="U255" s="224"/>
      <c r="V255" s="224"/>
      <c r="W255" s="224"/>
      <c r="X255" s="224"/>
      <c r="Y255" s="224"/>
      <c r="Z255" s="224"/>
      <c r="AA255" s="224"/>
      <c r="AB255" s="224"/>
      <c r="AC255" s="224"/>
      <c r="AD255" s="224"/>
      <c r="AE255" s="224"/>
      <c r="AF255" s="224"/>
      <c r="AG255" s="224"/>
      <c r="AH255" s="224"/>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c r="FL255" s="35"/>
      <c r="FM255" s="35"/>
      <c r="FN255" s="35"/>
      <c r="FO255" s="35"/>
      <c r="FP255" s="35"/>
      <c r="FQ255" s="35"/>
      <c r="FR255" s="35"/>
      <c r="FS255" s="35"/>
      <c r="FT255" s="35"/>
      <c r="FU255" s="35"/>
      <c r="FV255" s="35"/>
      <c r="FW255" s="35"/>
      <c r="FX255" s="35"/>
      <c r="FY255" s="35"/>
      <c r="FZ255" s="35"/>
      <c r="GA255" s="35"/>
      <c r="GB255" s="35"/>
      <c r="GC255" s="35"/>
      <c r="GD255" s="35"/>
      <c r="GE255" s="35"/>
      <c r="GF255" s="35"/>
      <c r="GG255" s="35"/>
      <c r="GH255" s="35"/>
      <c r="GI255" s="35"/>
      <c r="GJ255" s="35"/>
      <c r="GK255" s="35"/>
      <c r="GL255" s="35"/>
      <c r="GM255" s="35"/>
      <c r="GN255" s="35"/>
      <c r="GO255" s="35"/>
      <c r="GP255" s="35"/>
      <c r="GQ255" s="35"/>
      <c r="GR255" s="35"/>
      <c r="GS255" s="35"/>
      <c r="GT255" s="35"/>
      <c r="GU255" s="35"/>
      <c r="GV255" s="35"/>
      <c r="GW255" s="35"/>
      <c r="GX255" s="35"/>
      <c r="GY255" s="35"/>
      <c r="GZ255" s="35"/>
      <c r="HA255" s="35"/>
      <c r="HB255" s="35"/>
      <c r="HC255" s="35"/>
      <c r="HD255" s="35"/>
      <c r="HE255" s="35"/>
      <c r="HF255" s="35"/>
      <c r="HG255" s="35"/>
      <c r="HH255" s="35"/>
      <c r="HI255" s="35"/>
      <c r="HJ255" s="35"/>
      <c r="HK255" s="35"/>
      <c r="HL255" s="35"/>
      <c r="HM255" s="35"/>
      <c r="HN255" s="35"/>
      <c r="HO255" s="35"/>
      <c r="HP255" s="35"/>
      <c r="HQ255" s="35"/>
      <c r="HR255" s="35"/>
      <c r="HS255" s="35"/>
      <c r="HT255" s="35"/>
      <c r="HU255" s="35"/>
      <c r="HV255" s="35"/>
      <c r="HW255" s="35"/>
      <c r="HX255" s="35"/>
      <c r="HY255" s="35"/>
      <c r="HZ255" s="35"/>
      <c r="IA255" s="35"/>
      <c r="IB255" s="35"/>
      <c r="IC255" s="35"/>
      <c r="ID255" s="35"/>
      <c r="IE255" s="35"/>
      <c r="IF255" s="35"/>
      <c r="IG255" s="35"/>
      <c r="IH255" s="35"/>
      <c r="II255" s="35"/>
      <c r="IJ255" s="35"/>
      <c r="IK255" s="35"/>
      <c r="IL255" s="35"/>
      <c r="IM255" s="35"/>
      <c r="IN255" s="35"/>
      <c r="IO255" s="35"/>
      <c r="IP255" s="35"/>
      <c r="IQ255" s="35"/>
      <c r="IR255" s="35"/>
      <c r="IS255" s="35"/>
      <c r="IT255" s="35"/>
      <c r="IU255" s="35"/>
    </row>
    <row r="256" spans="1:255" s="227" customFormat="1" ht="31.2" x14ac:dyDescent="0.3">
      <c r="A256" s="539"/>
      <c r="B256" s="229" t="s">
        <v>817</v>
      </c>
      <c r="C256" s="461" t="s">
        <v>818</v>
      </c>
      <c r="D256" s="230" t="s">
        <v>695</v>
      </c>
      <c r="E256" s="231" t="s">
        <v>819</v>
      </c>
      <c r="F256" s="232" t="s">
        <v>816</v>
      </c>
      <c r="G256" s="233" t="s">
        <v>697</v>
      </c>
      <c r="H256" s="234">
        <v>4686220</v>
      </c>
      <c r="I256" s="539"/>
      <c r="J256" s="234">
        <v>0</v>
      </c>
      <c r="K256" s="369">
        <f t="shared" si="26"/>
        <v>4686220</v>
      </c>
      <c r="L256" s="369">
        <f>300000+1195000+1000</f>
        <v>1496000</v>
      </c>
      <c r="M256" s="369">
        <f t="shared" si="25"/>
        <v>3190220</v>
      </c>
      <c r="N256" s="369">
        <v>0</v>
      </c>
      <c r="O256" s="369">
        <v>0</v>
      </c>
      <c r="P256" s="369">
        <f t="shared" si="23"/>
        <v>3190220</v>
      </c>
      <c r="Q256" s="224"/>
      <c r="R256" s="224"/>
      <c r="S256" s="224"/>
      <c r="T256" s="224"/>
      <c r="U256" s="224"/>
      <c r="V256" s="224"/>
      <c r="W256" s="224"/>
      <c r="X256" s="224"/>
      <c r="Y256" s="224"/>
      <c r="Z256" s="224"/>
      <c r="AA256" s="224"/>
      <c r="AB256" s="224"/>
      <c r="AC256" s="224"/>
      <c r="AD256" s="224"/>
      <c r="AE256" s="224"/>
      <c r="AF256" s="224"/>
      <c r="AG256" s="224"/>
      <c r="AH256" s="224"/>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c r="FL256" s="35"/>
      <c r="FM256" s="35"/>
      <c r="FN256" s="35"/>
      <c r="FO256" s="35"/>
      <c r="FP256" s="35"/>
      <c r="FQ256" s="35"/>
      <c r="FR256" s="35"/>
      <c r="FS256" s="35"/>
      <c r="FT256" s="35"/>
      <c r="FU256" s="35"/>
      <c r="FV256" s="35"/>
      <c r="FW256" s="35"/>
      <c r="FX256" s="35"/>
      <c r="FY256" s="35"/>
      <c r="FZ256" s="35"/>
      <c r="GA256" s="35"/>
      <c r="GB256" s="35"/>
      <c r="GC256" s="35"/>
      <c r="GD256" s="35"/>
      <c r="GE256" s="35"/>
      <c r="GF256" s="35"/>
      <c r="GG256" s="35"/>
      <c r="GH256" s="35"/>
      <c r="GI256" s="35"/>
      <c r="GJ256" s="35"/>
      <c r="GK256" s="35"/>
      <c r="GL256" s="35"/>
      <c r="GM256" s="35"/>
      <c r="GN256" s="35"/>
      <c r="GO256" s="35"/>
      <c r="GP256" s="35"/>
      <c r="GQ256" s="35"/>
      <c r="GR256" s="35"/>
      <c r="GS256" s="35"/>
      <c r="GT256" s="35"/>
      <c r="GU256" s="35"/>
      <c r="GV256" s="35"/>
      <c r="GW256" s="35"/>
      <c r="GX256" s="35"/>
      <c r="GY256" s="35"/>
      <c r="GZ256" s="35"/>
      <c r="HA256" s="35"/>
      <c r="HB256" s="35"/>
      <c r="HC256" s="35"/>
      <c r="HD256" s="35"/>
      <c r="HE256" s="35"/>
      <c r="HF256" s="35"/>
      <c r="HG256" s="35"/>
      <c r="HH256" s="35"/>
      <c r="HI256" s="35"/>
      <c r="HJ256" s="35"/>
      <c r="HK256" s="35"/>
      <c r="HL256" s="35"/>
      <c r="HM256" s="35"/>
      <c r="HN256" s="35"/>
      <c r="HO256" s="35"/>
      <c r="HP256" s="35"/>
      <c r="HQ256" s="35"/>
      <c r="HR256" s="35"/>
      <c r="HS256" s="35"/>
      <c r="HT256" s="35"/>
      <c r="HU256" s="35"/>
      <c r="HV256" s="35"/>
      <c r="HW256" s="35"/>
      <c r="HX256" s="35"/>
      <c r="HY256" s="35"/>
      <c r="HZ256" s="35"/>
      <c r="IA256" s="35"/>
      <c r="IB256" s="35"/>
      <c r="IC256" s="35"/>
      <c r="ID256" s="35"/>
      <c r="IE256" s="35"/>
      <c r="IF256" s="35"/>
      <c r="IG256" s="35"/>
      <c r="IH256" s="35"/>
      <c r="II256" s="35"/>
      <c r="IJ256" s="35"/>
      <c r="IK256" s="35"/>
      <c r="IL256" s="35"/>
      <c r="IM256" s="35"/>
      <c r="IN256" s="35"/>
      <c r="IO256" s="35"/>
      <c r="IP256" s="35"/>
      <c r="IQ256" s="35"/>
      <c r="IR256" s="35"/>
      <c r="IS256" s="35"/>
      <c r="IT256" s="35"/>
      <c r="IU256" s="35"/>
    </row>
    <row r="257" spans="1:255" s="227" customFormat="1" ht="62.4" x14ac:dyDescent="0.3">
      <c r="A257" s="539"/>
      <c r="B257" s="235" t="s">
        <v>820</v>
      </c>
      <c r="C257" s="461" t="s">
        <v>821</v>
      </c>
      <c r="D257" s="233" t="s">
        <v>822</v>
      </c>
      <c r="E257" s="232" t="s">
        <v>823</v>
      </c>
      <c r="F257" s="232" t="s">
        <v>816</v>
      </c>
      <c r="G257" s="233" t="s">
        <v>697</v>
      </c>
      <c r="H257" s="234">
        <v>5539900</v>
      </c>
      <c r="I257" s="539"/>
      <c r="J257" s="234">
        <v>3460100</v>
      </c>
      <c r="K257" s="369">
        <f t="shared" si="26"/>
        <v>9000000</v>
      </c>
      <c r="L257" s="369">
        <v>1810750</v>
      </c>
      <c r="M257" s="369">
        <f t="shared" si="25"/>
        <v>7189250</v>
      </c>
      <c r="N257" s="369">
        <v>-800000</v>
      </c>
      <c r="O257" s="369">
        <v>0</v>
      </c>
      <c r="P257" s="369">
        <f t="shared" si="23"/>
        <v>6389250</v>
      </c>
      <c r="Q257" s="224"/>
      <c r="R257" s="224"/>
      <c r="S257" s="224"/>
      <c r="T257" s="224"/>
      <c r="U257" s="224"/>
      <c r="V257" s="224"/>
      <c r="W257" s="224"/>
      <c r="X257" s="224"/>
      <c r="Y257" s="224"/>
      <c r="Z257" s="224"/>
      <c r="AA257" s="224"/>
      <c r="AB257" s="224"/>
      <c r="AC257" s="224"/>
      <c r="AD257" s="224"/>
      <c r="AE257" s="224"/>
      <c r="AF257" s="224"/>
      <c r="AG257" s="224"/>
      <c r="AH257" s="224"/>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c r="FL257" s="35"/>
      <c r="FM257" s="35"/>
      <c r="FN257" s="35"/>
      <c r="FO257" s="35"/>
      <c r="FP257" s="35"/>
      <c r="FQ257" s="35"/>
      <c r="FR257" s="35"/>
      <c r="FS257" s="35"/>
      <c r="FT257" s="35"/>
      <c r="FU257" s="35"/>
      <c r="FV257" s="35"/>
      <c r="FW257" s="35"/>
      <c r="FX257" s="35"/>
      <c r="FY257" s="35"/>
      <c r="FZ257" s="35"/>
      <c r="GA257" s="35"/>
      <c r="GB257" s="35"/>
      <c r="GC257" s="35"/>
      <c r="GD257" s="35"/>
      <c r="GE257" s="35"/>
      <c r="GF257" s="35"/>
      <c r="GG257" s="35"/>
      <c r="GH257" s="35"/>
      <c r="GI257" s="35"/>
      <c r="GJ257" s="35"/>
      <c r="GK257" s="35"/>
      <c r="GL257" s="35"/>
      <c r="GM257" s="35"/>
      <c r="GN257" s="35"/>
      <c r="GO257" s="35"/>
      <c r="GP257" s="35"/>
      <c r="GQ257" s="35"/>
      <c r="GR257" s="35"/>
      <c r="GS257" s="35"/>
      <c r="GT257" s="35"/>
      <c r="GU257" s="35"/>
      <c r="GV257" s="35"/>
      <c r="GW257" s="35"/>
      <c r="GX257" s="35"/>
      <c r="GY257" s="35"/>
      <c r="GZ257" s="35"/>
      <c r="HA257" s="35"/>
      <c r="HB257" s="35"/>
      <c r="HC257" s="35"/>
      <c r="HD257" s="35"/>
      <c r="HE257" s="35"/>
      <c r="HF257" s="35"/>
      <c r="HG257" s="35"/>
      <c r="HH257" s="35"/>
      <c r="HI257" s="35"/>
      <c r="HJ257" s="35"/>
      <c r="HK257" s="35"/>
      <c r="HL257" s="35"/>
      <c r="HM257" s="35"/>
      <c r="HN257" s="35"/>
      <c r="HO257" s="35"/>
      <c r="HP257" s="35"/>
      <c r="HQ257" s="35"/>
      <c r="HR257" s="35"/>
      <c r="HS257" s="35"/>
      <c r="HT257" s="35"/>
      <c r="HU257" s="35"/>
      <c r="HV257" s="35"/>
      <c r="HW257" s="35"/>
      <c r="HX257" s="35"/>
      <c r="HY257" s="35"/>
      <c r="HZ257" s="35"/>
      <c r="IA257" s="35"/>
      <c r="IB257" s="35"/>
      <c r="IC257" s="35"/>
      <c r="ID257" s="35"/>
      <c r="IE257" s="35"/>
      <c r="IF257" s="35"/>
      <c r="IG257" s="35"/>
      <c r="IH257" s="35"/>
      <c r="II257" s="35"/>
      <c r="IJ257" s="35"/>
      <c r="IK257" s="35"/>
      <c r="IL257" s="35"/>
      <c r="IM257" s="35"/>
      <c r="IN257" s="35"/>
      <c r="IO257" s="35"/>
      <c r="IP257" s="35"/>
      <c r="IQ257" s="35"/>
      <c r="IR257" s="35"/>
      <c r="IS257" s="35"/>
      <c r="IT257" s="35"/>
      <c r="IU257" s="35"/>
    </row>
    <row r="258" spans="1:255" s="227" customFormat="1" ht="31.2" x14ac:dyDescent="0.3">
      <c r="A258" s="539"/>
      <c r="B258" s="235" t="s">
        <v>824</v>
      </c>
      <c r="C258" s="256" t="s">
        <v>825</v>
      </c>
      <c r="D258" s="233" t="s">
        <v>826</v>
      </c>
      <c r="E258" s="232" t="s">
        <v>827</v>
      </c>
      <c r="F258" s="232" t="s">
        <v>816</v>
      </c>
      <c r="G258" s="233" t="s">
        <v>697</v>
      </c>
      <c r="H258" s="234">
        <v>495200</v>
      </c>
      <c r="I258" s="539"/>
      <c r="J258" s="234">
        <v>1094800</v>
      </c>
      <c r="K258" s="369">
        <f t="shared" si="26"/>
        <v>1590000</v>
      </c>
      <c r="L258" s="369">
        <v>1046395</v>
      </c>
      <c r="M258" s="369">
        <f t="shared" si="25"/>
        <v>543605</v>
      </c>
      <c r="N258" s="369">
        <v>0</v>
      </c>
      <c r="O258" s="369">
        <v>756395</v>
      </c>
      <c r="P258" s="369">
        <f t="shared" si="23"/>
        <v>1300000</v>
      </c>
      <c r="Q258" s="224"/>
      <c r="R258" s="224"/>
      <c r="S258" s="224"/>
      <c r="T258" s="224"/>
      <c r="U258" s="224"/>
      <c r="V258" s="224"/>
      <c r="W258" s="224"/>
      <c r="X258" s="224"/>
      <c r="Y258" s="224"/>
      <c r="Z258" s="224"/>
      <c r="AA258" s="224"/>
      <c r="AB258" s="224"/>
      <c r="AC258" s="224"/>
      <c r="AD258" s="224"/>
      <c r="AE258" s="224"/>
      <c r="AF258" s="224"/>
      <c r="AG258" s="224"/>
      <c r="AH258" s="224"/>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c r="FL258" s="35"/>
      <c r="FM258" s="35"/>
      <c r="FN258" s="35"/>
      <c r="FO258" s="35"/>
      <c r="FP258" s="35"/>
      <c r="FQ258" s="35"/>
      <c r="FR258" s="35"/>
      <c r="FS258" s="35"/>
      <c r="FT258" s="35"/>
      <c r="FU258" s="35"/>
      <c r="FV258" s="35"/>
      <c r="FW258" s="35"/>
      <c r="FX258" s="35"/>
      <c r="FY258" s="35"/>
      <c r="FZ258" s="35"/>
      <c r="GA258" s="35"/>
      <c r="GB258" s="35"/>
      <c r="GC258" s="35"/>
      <c r="GD258" s="35"/>
      <c r="GE258" s="35"/>
      <c r="GF258" s="35"/>
      <c r="GG258" s="35"/>
      <c r="GH258" s="35"/>
      <c r="GI258" s="35"/>
      <c r="GJ258" s="35"/>
      <c r="GK258" s="35"/>
      <c r="GL258" s="35"/>
      <c r="GM258" s="35"/>
      <c r="GN258" s="35"/>
      <c r="GO258" s="35"/>
      <c r="GP258" s="35"/>
      <c r="GQ258" s="35"/>
      <c r="GR258" s="35"/>
      <c r="GS258" s="35"/>
      <c r="GT258" s="35"/>
      <c r="GU258" s="35"/>
      <c r="GV258" s="35"/>
      <c r="GW258" s="35"/>
      <c r="GX258" s="35"/>
      <c r="GY258" s="35"/>
      <c r="GZ258" s="35"/>
      <c r="HA258" s="35"/>
      <c r="HB258" s="35"/>
      <c r="HC258" s="35"/>
      <c r="HD258" s="35"/>
      <c r="HE258" s="35"/>
      <c r="HF258" s="35"/>
      <c r="HG258" s="35"/>
      <c r="HH258" s="35"/>
      <c r="HI258" s="35"/>
      <c r="HJ258" s="35"/>
      <c r="HK258" s="35"/>
      <c r="HL258" s="35"/>
      <c r="HM258" s="35"/>
      <c r="HN258" s="35"/>
      <c r="HO258" s="35"/>
      <c r="HP258" s="35"/>
      <c r="HQ258" s="35"/>
      <c r="HR258" s="35"/>
      <c r="HS258" s="35"/>
      <c r="HT258" s="35"/>
      <c r="HU258" s="35"/>
      <c r="HV258" s="35"/>
      <c r="HW258" s="35"/>
      <c r="HX258" s="35"/>
      <c r="HY258" s="35"/>
      <c r="HZ258" s="35"/>
      <c r="IA258" s="35"/>
      <c r="IB258" s="35"/>
      <c r="IC258" s="35"/>
      <c r="ID258" s="35"/>
      <c r="IE258" s="35"/>
      <c r="IF258" s="35"/>
      <c r="IG258" s="35"/>
      <c r="IH258" s="35"/>
      <c r="II258" s="35"/>
      <c r="IJ258" s="35"/>
      <c r="IK258" s="35"/>
      <c r="IL258" s="35"/>
      <c r="IM258" s="35"/>
      <c r="IN258" s="35"/>
      <c r="IO258" s="35"/>
      <c r="IP258" s="35"/>
      <c r="IQ258" s="35"/>
      <c r="IR258" s="35"/>
      <c r="IS258" s="35"/>
      <c r="IT258" s="35"/>
      <c r="IU258" s="35"/>
    </row>
    <row r="259" spans="1:255" s="227" customFormat="1" ht="62.4" x14ac:dyDescent="0.3">
      <c r="A259" s="539"/>
      <c r="B259" s="229" t="s">
        <v>828</v>
      </c>
      <c r="C259" s="256" t="s">
        <v>829</v>
      </c>
      <c r="D259" s="236">
        <v>42675</v>
      </c>
      <c r="E259" s="231" t="s">
        <v>830</v>
      </c>
      <c r="F259" s="232" t="s">
        <v>831</v>
      </c>
      <c r="G259" s="233" t="s">
        <v>832</v>
      </c>
      <c r="H259" s="234">
        <v>2345604</v>
      </c>
      <c r="I259" s="539"/>
      <c r="J259" s="234">
        <v>0</v>
      </c>
      <c r="K259" s="369">
        <f t="shared" si="26"/>
        <v>2345604</v>
      </c>
      <c r="L259" s="369">
        <v>874050</v>
      </c>
      <c r="M259" s="369">
        <f t="shared" si="25"/>
        <v>1471554</v>
      </c>
      <c r="N259" s="369">
        <f>800000+1000000+1000000</f>
        <v>2800000</v>
      </c>
      <c r="O259" s="369">
        <v>1545000</v>
      </c>
      <c r="P259" s="369">
        <f t="shared" si="23"/>
        <v>5816554</v>
      </c>
      <c r="Q259" s="224"/>
      <c r="R259" s="224"/>
      <c r="S259" s="224"/>
      <c r="T259" s="224"/>
      <c r="U259" s="224"/>
      <c r="V259" s="224"/>
      <c r="W259" s="224"/>
      <c r="X259" s="224"/>
      <c r="Y259" s="224"/>
      <c r="Z259" s="224"/>
      <c r="AA259" s="224"/>
      <c r="AB259" s="224"/>
      <c r="AC259" s="224"/>
      <c r="AD259" s="224"/>
      <c r="AE259" s="224"/>
      <c r="AF259" s="224"/>
      <c r="AG259" s="224"/>
      <c r="AH259" s="224"/>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c r="FL259" s="35"/>
      <c r="FM259" s="35"/>
      <c r="FN259" s="35"/>
      <c r="FO259" s="35"/>
      <c r="FP259" s="35"/>
      <c r="FQ259" s="35"/>
      <c r="FR259" s="35"/>
      <c r="FS259" s="35"/>
      <c r="FT259" s="35"/>
      <c r="FU259" s="35"/>
      <c r="FV259" s="35"/>
      <c r="FW259" s="35"/>
      <c r="FX259" s="35"/>
      <c r="FY259" s="35"/>
      <c r="FZ259" s="35"/>
      <c r="GA259" s="35"/>
      <c r="GB259" s="35"/>
      <c r="GC259" s="35"/>
      <c r="GD259" s="35"/>
      <c r="GE259" s="35"/>
      <c r="GF259" s="35"/>
      <c r="GG259" s="35"/>
      <c r="GH259" s="35"/>
      <c r="GI259" s="35"/>
      <c r="GJ259" s="35"/>
      <c r="GK259" s="35"/>
      <c r="GL259" s="35"/>
      <c r="GM259" s="35"/>
      <c r="GN259" s="35"/>
      <c r="GO259" s="35"/>
      <c r="GP259" s="35"/>
      <c r="GQ259" s="35"/>
      <c r="GR259" s="35"/>
      <c r="GS259" s="35"/>
      <c r="GT259" s="35"/>
      <c r="GU259" s="35"/>
      <c r="GV259" s="35"/>
      <c r="GW259" s="35"/>
      <c r="GX259" s="35"/>
      <c r="GY259" s="35"/>
      <c r="GZ259" s="35"/>
      <c r="HA259" s="35"/>
      <c r="HB259" s="35"/>
      <c r="HC259" s="35"/>
      <c r="HD259" s="35"/>
      <c r="HE259" s="35"/>
      <c r="HF259" s="35"/>
      <c r="HG259" s="35"/>
      <c r="HH259" s="35"/>
      <c r="HI259" s="35"/>
      <c r="HJ259" s="35"/>
      <c r="HK259" s="35"/>
      <c r="HL259" s="35"/>
      <c r="HM259" s="35"/>
      <c r="HN259" s="35"/>
      <c r="HO259" s="35"/>
      <c r="HP259" s="35"/>
      <c r="HQ259" s="35"/>
      <c r="HR259" s="35"/>
      <c r="HS259" s="35"/>
      <c r="HT259" s="35"/>
      <c r="HU259" s="35"/>
      <c r="HV259" s="35"/>
      <c r="HW259" s="35"/>
      <c r="HX259" s="35"/>
      <c r="HY259" s="35"/>
      <c r="HZ259" s="35"/>
      <c r="IA259" s="35"/>
      <c r="IB259" s="35"/>
      <c r="IC259" s="35"/>
      <c r="ID259" s="35"/>
      <c r="IE259" s="35"/>
      <c r="IF259" s="35"/>
      <c r="IG259" s="35"/>
      <c r="IH259" s="35"/>
      <c r="II259" s="35"/>
      <c r="IJ259" s="35"/>
      <c r="IK259" s="35"/>
      <c r="IL259" s="35"/>
      <c r="IM259" s="35"/>
      <c r="IN259" s="35"/>
      <c r="IO259" s="35"/>
      <c r="IP259" s="35"/>
      <c r="IQ259" s="35"/>
      <c r="IR259" s="35"/>
      <c r="IS259" s="35"/>
      <c r="IT259" s="35"/>
      <c r="IU259" s="35"/>
    </row>
    <row r="260" spans="1:255" s="227" customFormat="1" ht="46.8" x14ac:dyDescent="0.3">
      <c r="A260" s="539"/>
      <c r="B260" s="229" t="s">
        <v>833</v>
      </c>
      <c r="C260" s="463" t="s">
        <v>834</v>
      </c>
      <c r="D260" s="236">
        <v>42705</v>
      </c>
      <c r="E260" s="231" t="s">
        <v>835</v>
      </c>
      <c r="F260" s="232" t="s">
        <v>831</v>
      </c>
      <c r="G260" s="233" t="s">
        <v>832</v>
      </c>
      <c r="H260" s="234">
        <v>740000</v>
      </c>
      <c r="I260" s="539"/>
      <c r="J260" s="234">
        <v>1260000</v>
      </c>
      <c r="K260" s="369">
        <f t="shared" si="26"/>
        <v>2000000</v>
      </c>
      <c r="L260" s="369">
        <v>657800</v>
      </c>
      <c r="M260" s="369">
        <f t="shared" si="25"/>
        <v>1342200</v>
      </c>
      <c r="N260" s="369">
        <v>700000</v>
      </c>
      <c r="O260" s="369">
        <v>1300000</v>
      </c>
      <c r="P260" s="369">
        <f t="shared" si="23"/>
        <v>3342200</v>
      </c>
      <c r="Q260" s="224"/>
      <c r="R260" s="224"/>
      <c r="S260" s="224"/>
      <c r="T260" s="224"/>
      <c r="U260" s="224"/>
      <c r="V260" s="224"/>
      <c r="W260" s="224"/>
      <c r="X260" s="224"/>
      <c r="Y260" s="224"/>
      <c r="Z260" s="224"/>
      <c r="AA260" s="224"/>
      <c r="AB260" s="224"/>
      <c r="AC260" s="224"/>
      <c r="AD260" s="224"/>
      <c r="AE260" s="224"/>
      <c r="AF260" s="224"/>
      <c r="AG260" s="224"/>
      <c r="AH260" s="224"/>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c r="FL260" s="35"/>
      <c r="FM260" s="35"/>
      <c r="FN260" s="35"/>
      <c r="FO260" s="35"/>
      <c r="FP260" s="35"/>
      <c r="FQ260" s="35"/>
      <c r="FR260" s="35"/>
      <c r="FS260" s="35"/>
      <c r="FT260" s="35"/>
      <c r="FU260" s="35"/>
      <c r="FV260" s="35"/>
      <c r="FW260" s="35"/>
      <c r="FX260" s="35"/>
      <c r="FY260" s="35"/>
      <c r="FZ260" s="35"/>
      <c r="GA260" s="35"/>
      <c r="GB260" s="35"/>
      <c r="GC260" s="35"/>
      <c r="GD260" s="35"/>
      <c r="GE260" s="35"/>
      <c r="GF260" s="35"/>
      <c r="GG260" s="35"/>
      <c r="GH260" s="35"/>
      <c r="GI260" s="35"/>
      <c r="GJ260" s="35"/>
      <c r="GK260" s="35"/>
      <c r="GL260" s="35"/>
      <c r="GM260" s="35"/>
      <c r="GN260" s="35"/>
      <c r="GO260" s="35"/>
      <c r="GP260" s="35"/>
      <c r="GQ260" s="35"/>
      <c r="GR260" s="35"/>
      <c r="GS260" s="35"/>
      <c r="GT260" s="35"/>
      <c r="GU260" s="35"/>
      <c r="GV260" s="35"/>
      <c r="GW260" s="35"/>
      <c r="GX260" s="35"/>
      <c r="GY260" s="35"/>
      <c r="GZ260" s="35"/>
      <c r="HA260" s="35"/>
      <c r="HB260" s="35"/>
      <c r="HC260" s="35"/>
      <c r="HD260" s="35"/>
      <c r="HE260" s="35"/>
      <c r="HF260" s="35"/>
      <c r="HG260" s="35"/>
      <c r="HH260" s="35"/>
      <c r="HI260" s="35"/>
      <c r="HJ260" s="35"/>
      <c r="HK260" s="35"/>
      <c r="HL260" s="35"/>
      <c r="HM260" s="35"/>
      <c r="HN260" s="35"/>
      <c r="HO260" s="35"/>
      <c r="HP260" s="35"/>
      <c r="HQ260" s="35"/>
      <c r="HR260" s="35"/>
      <c r="HS260" s="35"/>
      <c r="HT260" s="35"/>
      <c r="HU260" s="35"/>
      <c r="HV260" s="35"/>
      <c r="HW260" s="35"/>
      <c r="HX260" s="35"/>
      <c r="HY260" s="35"/>
      <c r="HZ260" s="35"/>
      <c r="IA260" s="35"/>
      <c r="IB260" s="35"/>
      <c r="IC260" s="35"/>
      <c r="ID260" s="35"/>
      <c r="IE260" s="35"/>
      <c r="IF260" s="35"/>
      <c r="IG260" s="35"/>
      <c r="IH260" s="35"/>
      <c r="II260" s="35"/>
      <c r="IJ260" s="35"/>
      <c r="IK260" s="35"/>
      <c r="IL260" s="35"/>
      <c r="IM260" s="35"/>
      <c r="IN260" s="35"/>
      <c r="IO260" s="35"/>
      <c r="IP260" s="35"/>
      <c r="IQ260" s="35"/>
      <c r="IR260" s="35"/>
      <c r="IS260" s="35"/>
      <c r="IT260" s="35"/>
      <c r="IU260" s="35"/>
    </row>
    <row r="261" spans="1:255" s="227" customFormat="1" ht="31.2" x14ac:dyDescent="0.3">
      <c r="A261" s="539"/>
      <c r="B261" s="229" t="s">
        <v>836</v>
      </c>
      <c r="C261" s="460" t="s">
        <v>837</v>
      </c>
      <c r="D261" s="236">
        <v>42675</v>
      </c>
      <c r="E261" s="231" t="s">
        <v>838</v>
      </c>
      <c r="F261" s="232" t="s">
        <v>831</v>
      </c>
      <c r="G261" s="233" t="s">
        <v>678</v>
      </c>
      <c r="H261" s="234">
        <v>1000000</v>
      </c>
      <c r="I261" s="539"/>
      <c r="J261" s="234">
        <v>0</v>
      </c>
      <c r="K261" s="369">
        <f t="shared" si="26"/>
        <v>1000000</v>
      </c>
      <c r="L261" s="369">
        <v>0</v>
      </c>
      <c r="M261" s="369">
        <f t="shared" si="25"/>
        <v>1000000</v>
      </c>
      <c r="N261" s="369">
        <v>0</v>
      </c>
      <c r="O261" s="369">
        <v>200000</v>
      </c>
      <c r="P261" s="369">
        <f t="shared" si="23"/>
        <v>1200000</v>
      </c>
      <c r="Q261" s="224"/>
      <c r="R261" s="224"/>
      <c r="S261" s="224"/>
      <c r="T261" s="224"/>
      <c r="U261" s="224"/>
      <c r="V261" s="224"/>
      <c r="W261" s="224"/>
      <c r="X261" s="224"/>
      <c r="Y261" s="224"/>
      <c r="Z261" s="224"/>
      <c r="AA261" s="224"/>
      <c r="AB261" s="224"/>
      <c r="AC261" s="224"/>
      <c r="AD261" s="224"/>
      <c r="AE261" s="224"/>
      <c r="AF261" s="224"/>
      <c r="AG261" s="224"/>
      <c r="AH261" s="224"/>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5"/>
      <c r="GC261" s="35"/>
      <c r="GD261" s="35"/>
      <c r="GE261" s="35"/>
      <c r="GF261" s="35"/>
      <c r="GG261" s="35"/>
      <c r="GH261" s="35"/>
      <c r="GI261" s="35"/>
      <c r="GJ261" s="35"/>
      <c r="GK261" s="35"/>
      <c r="GL261" s="35"/>
      <c r="GM261" s="35"/>
      <c r="GN261" s="35"/>
      <c r="GO261" s="35"/>
      <c r="GP261" s="35"/>
      <c r="GQ261" s="35"/>
      <c r="GR261" s="35"/>
      <c r="GS261" s="35"/>
      <c r="GT261" s="35"/>
      <c r="GU261" s="35"/>
      <c r="GV261" s="35"/>
      <c r="GW261" s="35"/>
      <c r="GX261" s="35"/>
      <c r="GY261" s="35"/>
      <c r="GZ261" s="35"/>
      <c r="HA261" s="35"/>
      <c r="HB261" s="35"/>
      <c r="HC261" s="35"/>
      <c r="HD261" s="35"/>
      <c r="HE261" s="35"/>
      <c r="HF261" s="35"/>
      <c r="HG261" s="35"/>
      <c r="HH261" s="35"/>
      <c r="HI261" s="35"/>
      <c r="HJ261" s="35"/>
      <c r="HK261" s="35"/>
      <c r="HL261" s="35"/>
      <c r="HM261" s="35"/>
      <c r="HN261" s="35"/>
      <c r="HO261" s="35"/>
      <c r="HP261" s="35"/>
      <c r="HQ261" s="35"/>
      <c r="HR261" s="35"/>
      <c r="HS261" s="35"/>
      <c r="HT261" s="35"/>
      <c r="HU261" s="35"/>
      <c r="HV261" s="35"/>
      <c r="HW261" s="35"/>
      <c r="HX261" s="35"/>
      <c r="HY261" s="35"/>
      <c r="HZ261" s="35"/>
      <c r="IA261" s="35"/>
      <c r="IB261" s="35"/>
      <c r="IC261" s="35"/>
      <c r="ID261" s="35"/>
      <c r="IE261" s="35"/>
      <c r="IF261" s="35"/>
      <c r="IG261" s="35"/>
      <c r="IH261" s="35"/>
      <c r="II261" s="35"/>
      <c r="IJ261" s="35"/>
      <c r="IK261" s="35"/>
      <c r="IL261" s="35"/>
      <c r="IM261" s="35"/>
      <c r="IN261" s="35"/>
      <c r="IO261" s="35"/>
      <c r="IP261" s="35"/>
      <c r="IQ261" s="35"/>
      <c r="IR261" s="35"/>
      <c r="IS261" s="35"/>
      <c r="IT261" s="35"/>
      <c r="IU261" s="35"/>
    </row>
    <row r="262" spans="1:255" s="227" customFormat="1" ht="46.8" x14ac:dyDescent="0.3">
      <c r="A262" s="539"/>
      <c r="B262" s="235" t="s">
        <v>839</v>
      </c>
      <c r="C262" s="256" t="s">
        <v>840</v>
      </c>
      <c r="D262" s="236">
        <v>42705</v>
      </c>
      <c r="E262" s="231" t="s">
        <v>835</v>
      </c>
      <c r="F262" s="232" t="s">
        <v>831</v>
      </c>
      <c r="G262" s="233" t="s">
        <v>832</v>
      </c>
      <c r="H262" s="234">
        <v>-2868862</v>
      </c>
      <c r="I262" s="539"/>
      <c r="J262" s="234">
        <f>12740412+1000000</f>
        <v>13740412</v>
      </c>
      <c r="K262" s="369">
        <v>0</v>
      </c>
      <c r="L262" s="369">
        <v>0</v>
      </c>
      <c r="M262" s="369">
        <f t="shared" si="25"/>
        <v>0</v>
      </c>
      <c r="N262" s="369">
        <v>0</v>
      </c>
      <c r="O262" s="369">
        <v>0</v>
      </c>
      <c r="P262" s="369">
        <f t="shared" si="23"/>
        <v>0</v>
      </c>
      <c r="Q262" s="224"/>
      <c r="R262" s="224"/>
      <c r="S262" s="224"/>
      <c r="T262" s="224"/>
      <c r="U262" s="224"/>
      <c r="V262" s="224"/>
      <c r="W262" s="224"/>
      <c r="X262" s="224"/>
      <c r="Y262" s="224"/>
      <c r="Z262" s="224"/>
      <c r="AA262" s="224"/>
      <c r="AB262" s="224"/>
      <c r="AC262" s="224"/>
      <c r="AD262" s="224"/>
      <c r="AE262" s="224"/>
      <c r="AF262" s="224"/>
      <c r="AG262" s="224"/>
      <c r="AH262" s="224"/>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5"/>
      <c r="GC262" s="35"/>
      <c r="GD262" s="35"/>
      <c r="GE262" s="35"/>
      <c r="GF262" s="35"/>
      <c r="GG262" s="35"/>
      <c r="GH262" s="35"/>
      <c r="GI262" s="35"/>
      <c r="GJ262" s="35"/>
      <c r="GK262" s="35"/>
      <c r="GL262" s="35"/>
      <c r="GM262" s="35"/>
      <c r="GN262" s="35"/>
      <c r="GO262" s="35"/>
      <c r="GP262" s="35"/>
      <c r="GQ262" s="35"/>
      <c r="GR262" s="35"/>
      <c r="GS262" s="35"/>
      <c r="GT262" s="35"/>
      <c r="GU262" s="35"/>
      <c r="GV262" s="35"/>
      <c r="GW262" s="35"/>
      <c r="GX262" s="35"/>
      <c r="GY262" s="35"/>
      <c r="GZ262" s="35"/>
      <c r="HA262" s="35"/>
      <c r="HB262" s="35"/>
      <c r="HC262" s="35"/>
      <c r="HD262" s="35"/>
      <c r="HE262" s="35"/>
      <c r="HF262" s="35"/>
      <c r="HG262" s="35"/>
      <c r="HH262" s="35"/>
      <c r="HI262" s="35"/>
      <c r="HJ262" s="35"/>
      <c r="HK262" s="35"/>
      <c r="HL262" s="35"/>
      <c r="HM262" s="35"/>
      <c r="HN262" s="35"/>
      <c r="HO262" s="35"/>
      <c r="HP262" s="35"/>
      <c r="HQ262" s="35"/>
      <c r="HR262" s="35"/>
      <c r="HS262" s="35"/>
      <c r="HT262" s="35"/>
      <c r="HU262" s="35"/>
      <c r="HV262" s="35"/>
      <c r="HW262" s="35"/>
      <c r="HX262" s="35"/>
      <c r="HY262" s="35"/>
      <c r="HZ262" s="35"/>
      <c r="IA262" s="35"/>
      <c r="IB262" s="35"/>
      <c r="IC262" s="35"/>
      <c r="ID262" s="35"/>
      <c r="IE262" s="35"/>
      <c r="IF262" s="35"/>
      <c r="IG262" s="35"/>
      <c r="IH262" s="35"/>
      <c r="II262" s="35"/>
      <c r="IJ262" s="35"/>
      <c r="IK262" s="35"/>
      <c r="IL262" s="35"/>
      <c r="IM262" s="35"/>
      <c r="IN262" s="35"/>
      <c r="IO262" s="35"/>
      <c r="IP262" s="35"/>
      <c r="IQ262" s="35"/>
      <c r="IR262" s="35"/>
      <c r="IS262" s="35"/>
      <c r="IT262" s="35"/>
      <c r="IU262" s="35"/>
    </row>
    <row r="263" spans="1:255" s="227" customFormat="1" ht="109.2" x14ac:dyDescent="0.3">
      <c r="A263" s="539"/>
      <c r="B263" s="237" t="s">
        <v>841</v>
      </c>
      <c r="C263" s="461" t="s">
        <v>842</v>
      </c>
      <c r="D263" s="556">
        <v>42705</v>
      </c>
      <c r="E263" s="238"/>
      <c r="F263" s="239"/>
      <c r="G263" s="240"/>
      <c r="H263" s="241"/>
      <c r="I263" s="539"/>
      <c r="J263" s="241"/>
      <c r="K263" s="369">
        <v>2000000</v>
      </c>
      <c r="L263" s="369">
        <f>-184800+5806820-2000000-1000000-622020</f>
        <v>2000000</v>
      </c>
      <c r="M263" s="369">
        <f t="shared" si="25"/>
        <v>0</v>
      </c>
      <c r="N263" s="369" t="s">
        <v>242</v>
      </c>
      <c r="O263" s="369">
        <v>4000000</v>
      </c>
      <c r="P263" s="369">
        <f t="shared" si="23"/>
        <v>4000000</v>
      </c>
      <c r="Q263" s="224"/>
      <c r="R263" s="224"/>
      <c r="S263" s="224"/>
      <c r="T263" s="224"/>
      <c r="U263" s="224"/>
      <c r="V263" s="224"/>
      <c r="W263" s="224"/>
      <c r="X263" s="224"/>
      <c r="Y263" s="224"/>
      <c r="Z263" s="224"/>
      <c r="AA263" s="224"/>
      <c r="AB263" s="224"/>
      <c r="AC263" s="224"/>
      <c r="AD263" s="224"/>
      <c r="AE263" s="224"/>
      <c r="AF263" s="224"/>
      <c r="AG263" s="224"/>
      <c r="AH263" s="224"/>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5"/>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5"/>
      <c r="GC263" s="35"/>
      <c r="GD263" s="35"/>
      <c r="GE263" s="35"/>
      <c r="GF263" s="35"/>
      <c r="GG263" s="35"/>
      <c r="GH263" s="35"/>
      <c r="GI263" s="35"/>
      <c r="GJ263" s="35"/>
      <c r="GK263" s="35"/>
      <c r="GL263" s="35"/>
      <c r="GM263" s="35"/>
      <c r="GN263" s="35"/>
      <c r="GO263" s="35"/>
      <c r="GP263" s="35"/>
      <c r="GQ263" s="35"/>
      <c r="GR263" s="35"/>
      <c r="GS263" s="35"/>
      <c r="GT263" s="35"/>
      <c r="GU263" s="35"/>
      <c r="GV263" s="35"/>
      <c r="GW263" s="35"/>
      <c r="GX263" s="35"/>
      <c r="GY263" s="35"/>
      <c r="GZ263" s="35"/>
      <c r="HA263" s="35"/>
      <c r="HB263" s="35"/>
      <c r="HC263" s="35"/>
      <c r="HD263" s="35"/>
      <c r="HE263" s="35"/>
      <c r="HF263" s="35"/>
      <c r="HG263" s="35"/>
      <c r="HH263" s="35"/>
      <c r="HI263" s="35"/>
      <c r="HJ263" s="35"/>
      <c r="HK263" s="35"/>
      <c r="HL263" s="35"/>
      <c r="HM263" s="35"/>
      <c r="HN263" s="35"/>
      <c r="HO263" s="35"/>
      <c r="HP263" s="35"/>
      <c r="HQ263" s="35"/>
      <c r="HR263" s="35"/>
      <c r="HS263" s="35"/>
      <c r="HT263" s="35"/>
      <c r="HU263" s="35"/>
      <c r="HV263" s="35"/>
      <c r="HW263" s="35"/>
      <c r="HX263" s="35"/>
      <c r="HY263" s="35"/>
      <c r="HZ263" s="35"/>
      <c r="IA263" s="35"/>
      <c r="IB263" s="35"/>
      <c r="IC263" s="35"/>
      <c r="ID263" s="35"/>
      <c r="IE263" s="35"/>
      <c r="IF263" s="35"/>
      <c r="IG263" s="35"/>
      <c r="IH263" s="35"/>
      <c r="II263" s="35"/>
      <c r="IJ263" s="35"/>
      <c r="IK263" s="35"/>
      <c r="IL263" s="35"/>
      <c r="IM263" s="35"/>
      <c r="IN263" s="35"/>
      <c r="IO263" s="35"/>
      <c r="IP263" s="35"/>
      <c r="IQ263" s="35"/>
      <c r="IR263" s="35"/>
      <c r="IS263" s="35"/>
      <c r="IT263" s="35"/>
      <c r="IU263" s="35"/>
    </row>
    <row r="264" spans="1:255" s="35" customFormat="1" ht="93.6" x14ac:dyDescent="0.3">
      <c r="A264" s="539"/>
      <c r="B264" s="237" t="s">
        <v>843</v>
      </c>
      <c r="C264" s="461" t="s">
        <v>844</v>
      </c>
      <c r="D264" s="539"/>
      <c r="E264" s="238"/>
      <c r="F264" s="239"/>
      <c r="G264" s="240"/>
      <c r="H264" s="241"/>
      <c r="I264" s="539"/>
      <c r="J264" s="241"/>
      <c r="K264" s="369">
        <v>1200000</v>
      </c>
      <c r="L264" s="369">
        <v>1200000</v>
      </c>
      <c r="M264" s="369">
        <f t="shared" si="25"/>
        <v>0</v>
      </c>
      <c r="N264" s="369"/>
      <c r="O264" s="369">
        <v>2400000</v>
      </c>
      <c r="P264" s="369">
        <f t="shared" si="23"/>
        <v>2400000</v>
      </c>
      <c r="Q264" s="224"/>
      <c r="R264" s="224"/>
      <c r="S264" s="224"/>
      <c r="T264" s="224"/>
      <c r="U264" s="224"/>
      <c r="V264" s="224"/>
      <c r="W264" s="224"/>
      <c r="X264" s="224"/>
      <c r="Y264" s="224"/>
      <c r="Z264" s="224"/>
      <c r="AA264" s="224"/>
      <c r="AB264" s="224"/>
      <c r="AC264" s="224"/>
      <c r="AD264" s="224"/>
      <c r="AE264" s="224"/>
      <c r="AF264" s="224"/>
      <c r="AG264" s="224"/>
      <c r="AH264" s="224"/>
    </row>
    <row r="265" spans="1:255" s="35" customFormat="1" ht="78" x14ac:dyDescent="0.3">
      <c r="A265" s="539"/>
      <c r="B265" s="237" t="s">
        <v>845</v>
      </c>
      <c r="C265" s="461" t="s">
        <v>846</v>
      </c>
      <c r="D265" s="539"/>
      <c r="E265" s="238"/>
      <c r="F265" s="239"/>
      <c r="G265" s="240"/>
      <c r="H265" s="241"/>
      <c r="I265" s="539"/>
      <c r="J265" s="241"/>
      <c r="K265" s="369">
        <v>2000000</v>
      </c>
      <c r="L265" s="369">
        <v>546350</v>
      </c>
      <c r="M265" s="369">
        <f t="shared" si="25"/>
        <v>1453650</v>
      </c>
      <c r="N265" s="369" t="s">
        <v>242</v>
      </c>
      <c r="O265" s="369">
        <v>1600000</v>
      </c>
      <c r="P265" s="369">
        <f t="shared" si="23"/>
        <v>3053650</v>
      </c>
      <c r="Q265" s="224"/>
      <c r="R265" s="224"/>
      <c r="S265" s="224"/>
      <c r="T265" s="224"/>
      <c r="U265" s="224"/>
      <c r="V265" s="224"/>
      <c r="W265" s="224"/>
      <c r="X265" s="224"/>
      <c r="Y265" s="224"/>
      <c r="Z265" s="224"/>
      <c r="AA265" s="224"/>
      <c r="AB265" s="224"/>
      <c r="AC265" s="224"/>
      <c r="AD265" s="224"/>
      <c r="AE265" s="224"/>
      <c r="AF265" s="224"/>
      <c r="AG265" s="224"/>
      <c r="AH265" s="224"/>
    </row>
    <row r="266" spans="1:255" s="35" customFormat="1" ht="20.399999999999999" x14ac:dyDescent="0.3">
      <c r="A266" s="539"/>
      <c r="B266" s="237" t="s">
        <v>847</v>
      </c>
      <c r="C266" s="461" t="s">
        <v>848</v>
      </c>
      <c r="D266" s="539"/>
      <c r="E266" s="238"/>
      <c r="F266" s="239"/>
      <c r="G266" s="240"/>
      <c r="H266" s="241"/>
      <c r="I266" s="539"/>
      <c r="J266" s="241"/>
      <c r="K266" s="369">
        <v>250000</v>
      </c>
      <c r="L266" s="369"/>
      <c r="M266" s="369">
        <f t="shared" si="25"/>
        <v>250000</v>
      </c>
      <c r="N266" s="369">
        <v>250000</v>
      </c>
      <c r="O266" s="369">
        <v>0</v>
      </c>
      <c r="P266" s="369">
        <f t="shared" si="23"/>
        <v>500000</v>
      </c>
      <c r="Q266" s="224"/>
      <c r="R266" s="224"/>
      <c r="S266" s="224"/>
      <c r="T266" s="224"/>
      <c r="U266" s="224"/>
      <c r="V266" s="224"/>
      <c r="W266" s="224"/>
      <c r="X266" s="224"/>
      <c r="Y266" s="224"/>
      <c r="Z266" s="224"/>
      <c r="AA266" s="224"/>
      <c r="AB266" s="224"/>
      <c r="AC266" s="224"/>
      <c r="AD266" s="224"/>
      <c r="AE266" s="224"/>
      <c r="AF266" s="224"/>
      <c r="AG266" s="224"/>
      <c r="AH266" s="224"/>
    </row>
    <row r="267" spans="1:255" s="35" customFormat="1" ht="46.8" x14ac:dyDescent="0.3">
      <c r="A267" s="539"/>
      <c r="B267" s="237" t="s">
        <v>849</v>
      </c>
      <c r="C267" s="461" t="s">
        <v>850</v>
      </c>
      <c r="D267" s="539"/>
      <c r="E267" s="238"/>
      <c r="F267" s="239"/>
      <c r="G267" s="240"/>
      <c r="H267" s="241"/>
      <c r="I267" s="539"/>
      <c r="J267" s="241"/>
      <c r="K267" s="369">
        <v>1500000</v>
      </c>
      <c r="L267" s="369">
        <f>279950+200</f>
        <v>280150</v>
      </c>
      <c r="M267" s="369">
        <f t="shared" si="25"/>
        <v>1219850</v>
      </c>
      <c r="N267" s="369">
        <v>599385</v>
      </c>
      <c r="O267" s="369">
        <f>1500000-599395</f>
        <v>900605</v>
      </c>
      <c r="P267" s="369">
        <f t="shared" si="23"/>
        <v>2719840</v>
      </c>
      <c r="Q267" s="224"/>
      <c r="R267" s="224"/>
      <c r="S267" s="224"/>
      <c r="T267" s="224"/>
      <c r="U267" s="224"/>
      <c r="V267" s="224"/>
      <c r="W267" s="224"/>
      <c r="X267" s="224"/>
      <c r="Y267" s="224"/>
      <c r="Z267" s="224"/>
      <c r="AA267" s="224"/>
      <c r="AB267" s="224"/>
      <c r="AC267" s="224"/>
      <c r="AD267" s="224"/>
      <c r="AE267" s="224"/>
      <c r="AF267" s="224"/>
      <c r="AG267" s="224"/>
      <c r="AH267" s="224"/>
    </row>
    <row r="268" spans="1:255" s="35" customFormat="1" ht="31.2" x14ac:dyDescent="0.3">
      <c r="A268" s="539"/>
      <c r="B268" s="237" t="s">
        <v>851</v>
      </c>
      <c r="C268" s="461" t="s">
        <v>852</v>
      </c>
      <c r="D268" s="539"/>
      <c r="E268" s="238"/>
      <c r="F268" s="239"/>
      <c r="G268" s="240"/>
      <c r="H268" s="241"/>
      <c r="I268" s="539"/>
      <c r="J268" s="241"/>
      <c r="K268" s="369">
        <v>2000000</v>
      </c>
      <c r="L268" s="369">
        <v>2000000</v>
      </c>
      <c r="M268" s="369">
        <f t="shared" si="25"/>
        <v>0</v>
      </c>
      <c r="N268" s="369">
        <v>2000000</v>
      </c>
      <c r="O268" s="369">
        <v>2000000</v>
      </c>
      <c r="P268" s="369">
        <f t="shared" si="23"/>
        <v>4000000</v>
      </c>
      <c r="Q268" s="224"/>
      <c r="R268" s="224"/>
      <c r="S268" s="224"/>
      <c r="T268" s="224"/>
      <c r="U268" s="224"/>
      <c r="V268" s="224"/>
      <c r="W268" s="224"/>
      <c r="X268" s="224"/>
      <c r="Y268" s="224"/>
      <c r="Z268" s="224"/>
      <c r="AA268" s="224"/>
      <c r="AB268" s="224"/>
      <c r="AC268" s="224"/>
      <c r="AD268" s="224"/>
      <c r="AE268" s="224"/>
      <c r="AF268" s="224"/>
      <c r="AG268" s="224"/>
      <c r="AH268" s="224"/>
    </row>
    <row r="269" spans="1:255" s="35" customFormat="1" ht="78" x14ac:dyDescent="0.3">
      <c r="A269" s="539"/>
      <c r="B269" s="237" t="s">
        <v>853</v>
      </c>
      <c r="C269" s="461" t="s">
        <v>854</v>
      </c>
      <c r="D269" s="539"/>
      <c r="E269" s="238"/>
      <c r="F269" s="239"/>
      <c r="G269" s="240"/>
      <c r="H269" s="241"/>
      <c r="I269" s="539"/>
      <c r="J269" s="241"/>
      <c r="K269" s="369">
        <v>691550</v>
      </c>
      <c r="L269" s="369">
        <v>436000</v>
      </c>
      <c r="M269" s="369">
        <f t="shared" si="25"/>
        <v>255550</v>
      </c>
      <c r="N269" s="369">
        <v>0</v>
      </c>
      <c r="O269" s="369">
        <v>518000</v>
      </c>
      <c r="P269" s="369">
        <f t="shared" si="23"/>
        <v>773550</v>
      </c>
      <c r="Q269" s="224"/>
      <c r="R269" s="224"/>
      <c r="S269" s="224"/>
      <c r="T269" s="224"/>
      <c r="U269" s="224"/>
      <c r="V269" s="224"/>
      <c r="W269" s="224"/>
      <c r="X269" s="224"/>
      <c r="Y269" s="224"/>
      <c r="Z269" s="224"/>
      <c r="AA269" s="224"/>
      <c r="AB269" s="224"/>
      <c r="AC269" s="224"/>
      <c r="AD269" s="224"/>
      <c r="AE269" s="224"/>
      <c r="AF269" s="224"/>
      <c r="AG269" s="224"/>
      <c r="AH269" s="224"/>
    </row>
    <row r="270" spans="1:255" s="35" customFormat="1" ht="31.2" x14ac:dyDescent="0.3">
      <c r="A270" s="539"/>
      <c r="B270" s="237" t="s">
        <v>855</v>
      </c>
      <c r="C270" s="461" t="s">
        <v>856</v>
      </c>
      <c r="D270" s="539"/>
      <c r="E270" s="238"/>
      <c r="F270" s="239"/>
      <c r="G270" s="240"/>
      <c r="H270" s="241"/>
      <c r="I270" s="539"/>
      <c r="J270" s="241"/>
      <c r="K270" s="369">
        <v>510000</v>
      </c>
      <c r="L270" s="369">
        <v>140200</v>
      </c>
      <c r="M270" s="369">
        <f t="shared" si="25"/>
        <v>369800</v>
      </c>
      <c r="N270" s="369">
        <v>0</v>
      </c>
      <c r="O270" s="369">
        <v>660000</v>
      </c>
      <c r="P270" s="369">
        <f t="shared" si="23"/>
        <v>1029800</v>
      </c>
      <c r="Q270" s="224"/>
      <c r="R270" s="224"/>
      <c r="S270" s="224"/>
      <c r="T270" s="224"/>
      <c r="U270" s="224"/>
      <c r="V270" s="224"/>
      <c r="W270" s="224"/>
      <c r="X270" s="224"/>
      <c r="Y270" s="224"/>
      <c r="Z270" s="224"/>
      <c r="AA270" s="224"/>
      <c r="AB270" s="224"/>
      <c r="AC270" s="224"/>
      <c r="AD270" s="224"/>
      <c r="AE270" s="224"/>
      <c r="AF270" s="224"/>
      <c r="AG270" s="224"/>
      <c r="AH270" s="224"/>
    </row>
    <row r="271" spans="1:255" s="35" customFormat="1" ht="62.4" x14ac:dyDescent="0.3">
      <c r="A271" s="539"/>
      <c r="B271" s="237" t="s">
        <v>857</v>
      </c>
      <c r="C271" s="461" t="s">
        <v>858</v>
      </c>
      <c r="D271" s="539"/>
      <c r="E271" s="238"/>
      <c r="F271" s="239"/>
      <c r="G271" s="240"/>
      <c r="H271" s="241"/>
      <c r="I271" s="539"/>
      <c r="J271" s="241"/>
      <c r="K271" s="369">
        <v>120000</v>
      </c>
      <c r="L271" s="369">
        <v>0</v>
      </c>
      <c r="M271" s="369">
        <f t="shared" si="25"/>
        <v>120000</v>
      </c>
      <c r="N271" s="369">
        <v>0</v>
      </c>
      <c r="O271" s="369">
        <v>120000</v>
      </c>
      <c r="P271" s="369">
        <f t="shared" si="23"/>
        <v>240000</v>
      </c>
      <c r="Q271" s="224"/>
      <c r="R271" s="224"/>
      <c r="S271" s="224"/>
      <c r="T271" s="224"/>
      <c r="U271" s="224"/>
      <c r="V271" s="224"/>
      <c r="W271" s="224"/>
      <c r="X271" s="224"/>
      <c r="Y271" s="224"/>
      <c r="Z271" s="224"/>
      <c r="AA271" s="224"/>
      <c r="AB271" s="224"/>
      <c r="AC271" s="224"/>
      <c r="AD271" s="224"/>
      <c r="AE271" s="224"/>
      <c r="AF271" s="224"/>
      <c r="AG271" s="224"/>
      <c r="AH271" s="224"/>
    </row>
    <row r="272" spans="1:255" s="35" customFormat="1" ht="36" x14ac:dyDescent="0.3">
      <c r="A272" s="539"/>
      <c r="B272" s="237" t="s">
        <v>859</v>
      </c>
      <c r="C272" s="461" t="s">
        <v>860</v>
      </c>
      <c r="D272" s="539"/>
      <c r="E272" s="238"/>
      <c r="F272" s="239"/>
      <c r="G272" s="240"/>
      <c r="H272" s="241"/>
      <c r="I272" s="539"/>
      <c r="J272" s="241"/>
      <c r="K272" s="369">
        <v>600000</v>
      </c>
      <c r="L272" s="369">
        <v>0</v>
      </c>
      <c r="M272" s="369">
        <f t="shared" si="25"/>
        <v>600000</v>
      </c>
      <c r="N272" s="369">
        <v>0</v>
      </c>
      <c r="O272" s="369">
        <v>0</v>
      </c>
      <c r="P272" s="369">
        <f t="shared" si="23"/>
        <v>600000</v>
      </c>
      <c r="Q272" s="224"/>
      <c r="R272" s="224"/>
      <c r="S272" s="224"/>
      <c r="T272" s="224"/>
      <c r="U272" s="224"/>
      <c r="V272" s="224"/>
      <c r="W272" s="224"/>
      <c r="X272" s="224"/>
      <c r="Y272" s="224"/>
      <c r="Z272" s="224"/>
      <c r="AA272" s="224"/>
      <c r="AB272" s="224"/>
      <c r="AC272" s="224"/>
      <c r="AD272" s="224"/>
      <c r="AE272" s="224"/>
      <c r="AF272" s="224"/>
      <c r="AG272" s="224"/>
      <c r="AH272" s="224"/>
    </row>
    <row r="273" spans="1:34" s="35" customFormat="1" ht="62.4" x14ac:dyDescent="0.3">
      <c r="A273" s="539"/>
      <c r="B273" s="229" t="s">
        <v>861</v>
      </c>
      <c r="C273" s="460" t="s">
        <v>862</v>
      </c>
      <c r="D273" s="236">
        <v>42705</v>
      </c>
      <c r="E273" s="231" t="s">
        <v>863</v>
      </c>
      <c r="F273" s="232" t="s">
        <v>831</v>
      </c>
      <c r="G273" s="233" t="s">
        <v>832</v>
      </c>
      <c r="H273" s="234">
        <v>604000</v>
      </c>
      <c r="I273" s="539"/>
      <c r="J273" s="234">
        <v>1396000</v>
      </c>
      <c r="K273" s="369">
        <f>J273+H273+1000000</f>
        <v>3000000</v>
      </c>
      <c r="L273" s="369">
        <f>1484900+622020+100</f>
        <v>2107020</v>
      </c>
      <c r="M273" s="369">
        <f t="shared" si="25"/>
        <v>892980</v>
      </c>
      <c r="N273" s="369">
        <v>1000000</v>
      </c>
      <c r="O273" s="369">
        <v>0</v>
      </c>
      <c r="P273" s="369">
        <f t="shared" si="23"/>
        <v>1892980</v>
      </c>
      <c r="Q273" s="224"/>
      <c r="R273" s="224"/>
      <c r="S273" s="224"/>
      <c r="T273" s="224"/>
      <c r="U273" s="224"/>
      <c r="V273" s="224"/>
      <c r="W273" s="224"/>
      <c r="X273" s="224"/>
      <c r="Y273" s="224"/>
      <c r="Z273" s="224"/>
      <c r="AA273" s="224"/>
      <c r="AB273" s="224"/>
      <c r="AC273" s="224"/>
      <c r="AD273" s="224"/>
      <c r="AE273" s="224"/>
      <c r="AF273" s="224"/>
      <c r="AG273" s="224"/>
      <c r="AH273" s="224"/>
    </row>
    <row r="274" spans="1:34" s="35" customFormat="1" ht="31.2" x14ac:dyDescent="0.3">
      <c r="A274" s="539"/>
      <c r="B274" s="229" t="s">
        <v>864</v>
      </c>
      <c r="C274" s="460" t="s">
        <v>865</v>
      </c>
      <c r="D274" s="230" t="s">
        <v>866</v>
      </c>
      <c r="E274" s="231" t="s">
        <v>867</v>
      </c>
      <c r="F274" s="232" t="s">
        <v>868</v>
      </c>
      <c r="G274" s="233" t="s">
        <v>678</v>
      </c>
      <c r="H274" s="234"/>
      <c r="I274" s="539"/>
      <c r="J274" s="234">
        <v>1000000</v>
      </c>
      <c r="K274" s="369">
        <f>J274</f>
        <v>1000000</v>
      </c>
      <c r="L274" s="369">
        <v>1000000</v>
      </c>
      <c r="M274" s="369">
        <f t="shared" si="25"/>
        <v>0</v>
      </c>
      <c r="N274" s="369">
        <v>1200000</v>
      </c>
      <c r="O274" s="369">
        <v>0</v>
      </c>
      <c r="P274" s="369">
        <f t="shared" si="23"/>
        <v>1200000</v>
      </c>
      <c r="Q274" s="224"/>
      <c r="R274" s="224"/>
      <c r="S274" s="224"/>
      <c r="T274" s="224"/>
      <c r="U274" s="224"/>
      <c r="V274" s="224"/>
      <c r="W274" s="224"/>
      <c r="X274" s="224"/>
      <c r="Y274" s="224"/>
      <c r="Z274" s="224"/>
      <c r="AA274" s="224"/>
      <c r="AB274" s="224"/>
      <c r="AC274" s="224"/>
      <c r="AD274" s="224"/>
      <c r="AE274" s="224"/>
      <c r="AF274" s="224"/>
      <c r="AG274" s="224"/>
      <c r="AH274" s="224"/>
    </row>
    <row r="275" spans="1:34" s="35" customFormat="1" ht="62.4" x14ac:dyDescent="0.3">
      <c r="A275" s="539"/>
      <c r="B275" s="229" t="s">
        <v>869</v>
      </c>
      <c r="C275" s="463" t="s">
        <v>870</v>
      </c>
      <c r="D275" s="352"/>
      <c r="E275" s="352"/>
      <c r="F275" s="352"/>
      <c r="G275" s="240"/>
      <c r="H275" s="234"/>
      <c r="I275" s="539"/>
      <c r="J275" s="234"/>
      <c r="K275" s="368">
        <v>0</v>
      </c>
      <c r="L275" s="370">
        <v>0</v>
      </c>
      <c r="M275" s="370">
        <v>0</v>
      </c>
      <c r="N275" s="370">
        <v>0</v>
      </c>
      <c r="O275" s="370">
        <f>SUM(O255:O274)</f>
        <v>16000000</v>
      </c>
      <c r="P275" s="370"/>
      <c r="Q275" s="224"/>
      <c r="R275" s="224"/>
      <c r="S275" s="224"/>
      <c r="T275" s="224"/>
      <c r="U275" s="224"/>
      <c r="V275" s="224"/>
      <c r="W275" s="224"/>
      <c r="X275" s="224"/>
      <c r="Y275" s="224"/>
      <c r="Z275" s="224"/>
      <c r="AA275" s="224"/>
      <c r="AB275" s="224"/>
      <c r="AC275" s="224"/>
      <c r="AD275" s="224"/>
      <c r="AE275" s="224"/>
      <c r="AF275" s="224"/>
      <c r="AG275" s="224"/>
      <c r="AH275" s="224"/>
    </row>
    <row r="276" spans="1:34" s="35" customFormat="1" ht="32.4" x14ac:dyDescent="0.3">
      <c r="A276" s="557" t="s">
        <v>871</v>
      </c>
      <c r="B276" s="539"/>
      <c r="C276" s="539"/>
      <c r="D276" s="242"/>
      <c r="E276" s="243"/>
      <c r="F276" s="243"/>
      <c r="G276" s="243"/>
      <c r="H276" s="244">
        <f>SUM(H219:H273)</f>
        <v>99932116</v>
      </c>
      <c r="I276" s="244">
        <f>SUM(I219:I273)</f>
        <v>92500000</v>
      </c>
      <c r="J276" s="245">
        <f>SUM(J219:J273)</f>
        <v>17499900</v>
      </c>
      <c r="K276" s="371">
        <f>SUM(K219:K275)</f>
        <v>192432016</v>
      </c>
      <c r="L276" s="371">
        <f>SUM(L219:L275)</f>
        <v>95240675</v>
      </c>
      <c r="M276" s="371">
        <f t="shared" si="25"/>
        <v>97191341</v>
      </c>
      <c r="N276" s="371">
        <f>SUM(N219:N275)</f>
        <v>0</v>
      </c>
      <c r="O276" s="371">
        <f>SUM(O219:O275)-O275-O254-O244</f>
        <v>89160000</v>
      </c>
      <c r="P276" s="371">
        <f>SUM(M276:O276)</f>
        <v>186351341</v>
      </c>
      <c r="Q276" s="224"/>
      <c r="R276" s="224"/>
      <c r="S276" s="224"/>
      <c r="T276" s="224"/>
      <c r="U276" s="224"/>
      <c r="V276" s="224"/>
      <c r="W276" s="224"/>
      <c r="X276" s="224"/>
      <c r="Y276" s="224"/>
      <c r="Z276" s="224"/>
      <c r="AA276" s="224"/>
      <c r="AB276" s="224"/>
      <c r="AC276" s="224"/>
      <c r="AD276" s="224"/>
      <c r="AE276" s="224"/>
      <c r="AF276" s="224"/>
      <c r="AG276" s="224"/>
      <c r="AH276" s="224"/>
    </row>
    <row r="277" spans="1:34" ht="32.4" thickBot="1" x14ac:dyDescent="0.35">
      <c r="A277" s="558" t="s">
        <v>872</v>
      </c>
      <c r="B277" s="558"/>
      <c r="C277" s="558"/>
      <c r="D277" s="558"/>
      <c r="E277" s="558"/>
      <c r="F277" s="558"/>
      <c r="G277" s="558"/>
      <c r="H277" s="558"/>
      <c r="I277" s="558"/>
      <c r="J277" s="558"/>
      <c r="K277" s="558"/>
      <c r="L277" s="558"/>
      <c r="M277" s="558"/>
      <c r="N277" s="558"/>
      <c r="O277" s="558"/>
      <c r="P277" s="558"/>
      <c r="Q277"/>
    </row>
    <row r="278" spans="1:34" ht="70.8" thickTop="1" thickBot="1" x14ac:dyDescent="0.35">
      <c r="A278" s="294" t="s">
        <v>4</v>
      </c>
      <c r="B278" s="295" t="s">
        <v>5</v>
      </c>
      <c r="C278" s="454" t="s">
        <v>6</v>
      </c>
      <c r="D278" s="297" t="s">
        <v>7</v>
      </c>
      <c r="E278" s="298" t="s">
        <v>8</v>
      </c>
      <c r="F278" s="299" t="s">
        <v>9</v>
      </c>
      <c r="G278" s="300" t="s">
        <v>10</v>
      </c>
      <c r="H278" s="301" t="s">
        <v>11</v>
      </c>
      <c r="I278" s="302" t="s">
        <v>13</v>
      </c>
      <c r="J278" s="302" t="s">
        <v>669</v>
      </c>
      <c r="K278" s="303" t="s">
        <v>873</v>
      </c>
      <c r="L278" s="188" t="s">
        <v>15</v>
      </c>
      <c r="M278" s="304" t="s">
        <v>16</v>
      </c>
      <c r="N278" s="188" t="s">
        <v>292</v>
      </c>
      <c r="O278" s="304" t="s">
        <v>18</v>
      </c>
      <c r="P278" s="304" t="s">
        <v>671</v>
      </c>
      <c r="Q278"/>
    </row>
    <row r="279" spans="1:34" ht="62.4" x14ac:dyDescent="0.4">
      <c r="A279" s="559" t="s">
        <v>874</v>
      </c>
      <c r="B279" s="406" t="s">
        <v>875</v>
      </c>
      <c r="C279" s="389" t="s">
        <v>876</v>
      </c>
      <c r="D279" s="560" t="s">
        <v>765</v>
      </c>
      <c r="E279" s="407" t="s">
        <v>877</v>
      </c>
      <c r="F279" s="407" t="s">
        <v>878</v>
      </c>
      <c r="G279" s="561" t="s">
        <v>879</v>
      </c>
      <c r="H279" s="380">
        <v>450000</v>
      </c>
      <c r="I279" s="380">
        <v>0</v>
      </c>
      <c r="J279" s="562">
        <v>2000000</v>
      </c>
      <c r="K279" s="380">
        <f>SUM(H279:I279)</f>
        <v>450000</v>
      </c>
      <c r="L279" s="380">
        <v>0</v>
      </c>
      <c r="M279" s="380">
        <f>K279-L279</f>
        <v>450000</v>
      </c>
      <c r="N279" s="380">
        <v>0</v>
      </c>
      <c r="O279" s="380">
        <v>0</v>
      </c>
      <c r="P279" s="380">
        <f>SUM(M279:O279)</f>
        <v>450000</v>
      </c>
      <c r="Q279" s="228"/>
    </row>
    <row r="280" spans="1:34" ht="62.4" x14ac:dyDescent="0.3">
      <c r="A280" s="559"/>
      <c r="B280" s="406" t="s">
        <v>880</v>
      </c>
      <c r="C280" s="389" t="s">
        <v>881</v>
      </c>
      <c r="D280" s="560"/>
      <c r="E280" s="407" t="s">
        <v>882</v>
      </c>
      <c r="F280" s="407" t="s">
        <v>878</v>
      </c>
      <c r="G280" s="561"/>
      <c r="H280" s="380">
        <v>2000000</v>
      </c>
      <c r="I280" s="380">
        <v>500000</v>
      </c>
      <c r="J280" s="562"/>
      <c r="K280" s="380">
        <f>SUM(H280:I280)</f>
        <v>2500000</v>
      </c>
      <c r="L280" s="380">
        <f>2000000-210600</f>
        <v>1789400</v>
      </c>
      <c r="M280" s="380">
        <f t="shared" ref="M280:M345" si="27">K280-L280</f>
        <v>710600</v>
      </c>
      <c r="N280" s="380">
        <v>-710600</v>
      </c>
      <c r="O280" s="380">
        <v>0</v>
      </c>
      <c r="P280" s="380">
        <f t="shared" ref="P280:P345" si="28">SUM(M280:O280)</f>
        <v>0</v>
      </c>
      <c r="Q280" s="36"/>
    </row>
    <row r="281" spans="1:34" ht="31.2" x14ac:dyDescent="0.3">
      <c r="A281" s="559"/>
      <c r="B281" s="406" t="s">
        <v>883</v>
      </c>
      <c r="C281" s="389" t="s">
        <v>884</v>
      </c>
      <c r="D281" s="560"/>
      <c r="E281" s="561" t="s">
        <v>885</v>
      </c>
      <c r="F281" s="407" t="s">
        <v>878</v>
      </c>
      <c r="G281" s="561"/>
      <c r="H281" s="380">
        <v>550000</v>
      </c>
      <c r="I281" s="380">
        <v>0</v>
      </c>
      <c r="J281" s="562"/>
      <c r="K281" s="380">
        <f>SUM(H281:I281)</f>
        <v>550000</v>
      </c>
      <c r="L281" s="380">
        <v>0</v>
      </c>
      <c r="M281" s="380">
        <f t="shared" si="27"/>
        <v>550000</v>
      </c>
      <c r="N281" s="380">
        <v>0</v>
      </c>
      <c r="O281" s="380">
        <v>0</v>
      </c>
      <c r="P281" s="380">
        <f t="shared" si="28"/>
        <v>550000</v>
      </c>
      <c r="Q281" s="36"/>
    </row>
    <row r="282" spans="1:34" ht="31.2" x14ac:dyDescent="0.3">
      <c r="A282" s="559"/>
      <c r="B282" s="406" t="s">
        <v>886</v>
      </c>
      <c r="C282" s="389" t="s">
        <v>887</v>
      </c>
      <c r="D282" s="560"/>
      <c r="E282" s="561"/>
      <c r="F282" s="407" t="s">
        <v>888</v>
      </c>
      <c r="G282" s="561"/>
      <c r="H282" s="380">
        <v>2000000</v>
      </c>
      <c r="I282" s="380">
        <v>500000</v>
      </c>
      <c r="J282" s="562"/>
      <c r="K282" s="380">
        <f>SUM(H282:I282)</f>
        <v>2500000</v>
      </c>
      <c r="L282" s="380">
        <v>1500000</v>
      </c>
      <c r="M282" s="380">
        <f t="shared" si="27"/>
        <v>1000000</v>
      </c>
      <c r="N282" s="380">
        <v>0</v>
      </c>
      <c r="O282" s="380">
        <v>500000</v>
      </c>
      <c r="P282" s="380">
        <f t="shared" si="28"/>
        <v>1500000</v>
      </c>
      <c r="Q282" s="36"/>
    </row>
    <row r="283" spans="1:34" ht="46.8" x14ac:dyDescent="0.3">
      <c r="A283" s="559"/>
      <c r="B283" s="406" t="s">
        <v>889</v>
      </c>
      <c r="C283" s="389" t="s">
        <v>890</v>
      </c>
      <c r="D283" s="560"/>
      <c r="E283" s="407" t="s">
        <v>891</v>
      </c>
      <c r="F283" s="407" t="s">
        <v>888</v>
      </c>
      <c r="G283" s="561"/>
      <c r="H283" s="380">
        <v>0</v>
      </c>
      <c r="I283" s="380">
        <v>1000000</v>
      </c>
      <c r="J283" s="562"/>
      <c r="K283" s="380">
        <v>1000000</v>
      </c>
      <c r="L283" s="380">
        <v>0</v>
      </c>
      <c r="M283" s="380">
        <f t="shared" si="27"/>
        <v>1000000</v>
      </c>
      <c r="N283" s="380">
        <v>0</v>
      </c>
      <c r="O283" s="380">
        <v>0</v>
      </c>
      <c r="P283" s="380">
        <f t="shared" si="28"/>
        <v>1000000</v>
      </c>
      <c r="Q283" s="36"/>
    </row>
    <row r="284" spans="1:34" ht="62.4" x14ac:dyDescent="0.3">
      <c r="A284" s="559"/>
      <c r="B284" s="406" t="s">
        <v>892</v>
      </c>
      <c r="C284" s="389" t="s">
        <v>893</v>
      </c>
      <c r="D284" s="560"/>
      <c r="E284" s="407" t="s">
        <v>877</v>
      </c>
      <c r="F284" s="407" t="s">
        <v>888</v>
      </c>
      <c r="G284" s="561"/>
      <c r="H284" s="380">
        <v>1500000</v>
      </c>
      <c r="I284" s="380">
        <v>1000000</v>
      </c>
      <c r="J284" s="562"/>
      <c r="K284" s="380">
        <f>SUM(H284:I284)</f>
        <v>2500000</v>
      </c>
      <c r="L284" s="380">
        <v>1000000</v>
      </c>
      <c r="M284" s="380">
        <f t="shared" si="27"/>
        <v>1500000</v>
      </c>
      <c r="N284" s="380">
        <v>0</v>
      </c>
      <c r="O284" s="380">
        <v>500000</v>
      </c>
      <c r="P284" s="380">
        <f t="shared" si="28"/>
        <v>2000000</v>
      </c>
      <c r="Q284" s="36"/>
    </row>
    <row r="285" spans="1:34" ht="78" x14ac:dyDescent="0.3">
      <c r="A285" s="559"/>
      <c r="B285" s="406" t="s">
        <v>894</v>
      </c>
      <c r="C285" s="389" t="s">
        <v>895</v>
      </c>
      <c r="D285" s="560"/>
      <c r="E285" s="407"/>
      <c r="F285" s="407"/>
      <c r="G285" s="561"/>
      <c r="H285" s="380"/>
      <c r="I285" s="380"/>
      <c r="J285" s="562"/>
      <c r="K285" s="380">
        <v>0</v>
      </c>
      <c r="L285" s="380">
        <v>0</v>
      </c>
      <c r="M285" s="380">
        <f t="shared" si="27"/>
        <v>0</v>
      </c>
      <c r="N285" s="380">
        <v>0</v>
      </c>
      <c r="O285" s="380">
        <v>4000000</v>
      </c>
      <c r="P285" s="380">
        <f t="shared" si="28"/>
        <v>4000000</v>
      </c>
      <c r="Q285" s="36"/>
    </row>
    <row r="286" spans="1:34" ht="31.8" thickBot="1" x14ac:dyDescent="0.35">
      <c r="A286" s="596" t="s">
        <v>896</v>
      </c>
      <c r="B286" s="408" t="s">
        <v>897</v>
      </c>
      <c r="C286" s="464" t="s">
        <v>898</v>
      </c>
      <c r="D286" s="408" t="s">
        <v>765</v>
      </c>
      <c r="E286" s="408" t="s">
        <v>899</v>
      </c>
      <c r="F286" s="408" t="s">
        <v>888</v>
      </c>
      <c r="G286" s="408"/>
      <c r="H286" s="390">
        <v>1000000</v>
      </c>
      <c r="I286" s="390"/>
      <c r="J286" s="390"/>
      <c r="K286" s="409">
        <f>SUM(H286:I286)</f>
        <v>1000000</v>
      </c>
      <c r="L286" s="381">
        <v>0</v>
      </c>
      <c r="M286" s="381">
        <f t="shared" si="27"/>
        <v>1000000</v>
      </c>
      <c r="N286" s="380">
        <v>0</v>
      </c>
      <c r="O286" s="381">
        <v>0</v>
      </c>
      <c r="P286" s="381">
        <f t="shared" si="28"/>
        <v>1000000</v>
      </c>
      <c r="Q286" s="36"/>
    </row>
    <row r="287" spans="1:34" ht="63" thickBot="1" x14ac:dyDescent="0.35">
      <c r="A287" s="596"/>
      <c r="B287" s="410" t="s">
        <v>900</v>
      </c>
      <c r="C287" s="391" t="s">
        <v>901</v>
      </c>
      <c r="D287" s="412"/>
      <c r="E287" s="411"/>
      <c r="F287" s="411"/>
      <c r="G287" s="411"/>
      <c r="H287" s="392"/>
      <c r="I287" s="392"/>
      <c r="J287" s="392"/>
      <c r="K287" s="413">
        <v>0</v>
      </c>
      <c r="L287" s="380">
        <v>0</v>
      </c>
      <c r="M287" s="380">
        <f t="shared" si="27"/>
        <v>0</v>
      </c>
      <c r="N287" s="380">
        <v>0</v>
      </c>
      <c r="O287" s="380">
        <v>8000000</v>
      </c>
      <c r="P287" s="380">
        <f t="shared" si="28"/>
        <v>8000000</v>
      </c>
      <c r="Q287" s="36"/>
    </row>
    <row r="288" spans="1:34" ht="78.599999999999994" thickBot="1" x14ac:dyDescent="0.35">
      <c r="A288" s="597"/>
      <c r="B288" s="410" t="s">
        <v>902</v>
      </c>
      <c r="C288" s="391" t="s">
        <v>903</v>
      </c>
      <c r="D288" s="412"/>
      <c r="E288" s="411"/>
      <c r="F288" s="411"/>
      <c r="G288" s="411"/>
      <c r="H288" s="392"/>
      <c r="I288" s="392"/>
      <c r="J288" s="392"/>
      <c r="K288" s="413"/>
      <c r="L288" s="380">
        <v>0</v>
      </c>
      <c r="M288" s="380">
        <f t="shared" ref="M288" si="29">K288-L288</f>
        <v>0</v>
      </c>
      <c r="N288" s="380">
        <f>710600-23400</f>
        <v>687200</v>
      </c>
      <c r="O288" s="380">
        <v>2000000</v>
      </c>
      <c r="P288" s="380">
        <f t="shared" si="28"/>
        <v>2687200</v>
      </c>
      <c r="Q288" s="36"/>
    </row>
    <row r="289" spans="1:17" ht="78.599999999999994" thickBot="1" x14ac:dyDescent="0.35">
      <c r="A289" s="598" t="s">
        <v>904</v>
      </c>
      <c r="B289" s="410" t="s">
        <v>905</v>
      </c>
      <c r="C289" s="391" t="s">
        <v>906</v>
      </c>
      <c r="D289" s="412"/>
      <c r="E289" s="411"/>
      <c r="F289" s="411"/>
      <c r="G289" s="411"/>
      <c r="H289" s="392"/>
      <c r="I289" s="392"/>
      <c r="J289" s="392"/>
      <c r="K289" s="413">
        <v>0</v>
      </c>
      <c r="L289" s="380">
        <v>0</v>
      </c>
      <c r="M289" s="380">
        <f t="shared" si="27"/>
        <v>0</v>
      </c>
      <c r="N289" s="380">
        <v>0</v>
      </c>
      <c r="O289" s="380">
        <v>12500000</v>
      </c>
      <c r="P289" s="380">
        <f t="shared" si="28"/>
        <v>12500000</v>
      </c>
      <c r="Q289" s="36"/>
    </row>
    <row r="290" spans="1:17" ht="78.599999999999994" thickBot="1" x14ac:dyDescent="0.35">
      <c r="A290" s="599"/>
      <c r="B290" s="410" t="s">
        <v>907</v>
      </c>
      <c r="C290" s="391" t="s">
        <v>908</v>
      </c>
      <c r="D290" s="412"/>
      <c r="E290" s="411"/>
      <c r="F290" s="411"/>
      <c r="G290" s="411"/>
      <c r="H290" s="392"/>
      <c r="I290" s="392"/>
      <c r="J290" s="392"/>
      <c r="K290" s="413"/>
      <c r="L290" s="380">
        <v>0</v>
      </c>
      <c r="M290" s="380"/>
      <c r="N290" s="380">
        <v>0</v>
      </c>
      <c r="O290" s="380">
        <v>7500000</v>
      </c>
      <c r="P290" s="380">
        <f t="shared" si="28"/>
        <v>7500000</v>
      </c>
      <c r="Q290" s="36"/>
    </row>
    <row r="291" spans="1:17" ht="78.599999999999994" thickBot="1" x14ac:dyDescent="0.35">
      <c r="A291" s="599"/>
      <c r="B291" s="410" t="s">
        <v>909</v>
      </c>
      <c r="C291" s="391" t="s">
        <v>910</v>
      </c>
      <c r="D291" s="412"/>
      <c r="E291" s="411"/>
      <c r="F291" s="411"/>
      <c r="G291" s="411"/>
      <c r="H291" s="392"/>
      <c r="I291" s="392"/>
      <c r="J291" s="392"/>
      <c r="K291" s="413">
        <v>0</v>
      </c>
      <c r="L291" s="380">
        <v>0</v>
      </c>
      <c r="M291" s="380">
        <f t="shared" si="27"/>
        <v>0</v>
      </c>
      <c r="N291" s="380">
        <v>0</v>
      </c>
      <c r="O291" s="380">
        <v>70000000</v>
      </c>
      <c r="P291" s="380">
        <f t="shared" si="28"/>
        <v>70000000</v>
      </c>
      <c r="Q291" s="36"/>
    </row>
    <row r="292" spans="1:17" ht="31.8" thickBot="1" x14ac:dyDescent="0.35">
      <c r="A292" s="600"/>
      <c r="B292" s="410" t="s">
        <v>911</v>
      </c>
      <c r="C292" s="391" t="s">
        <v>912</v>
      </c>
      <c r="D292" s="412"/>
      <c r="E292" s="411"/>
      <c r="F292" s="411"/>
      <c r="G292" s="411"/>
      <c r="H292" s="392"/>
      <c r="I292" s="392"/>
      <c r="J292" s="392"/>
      <c r="K292" s="413">
        <v>0</v>
      </c>
      <c r="L292" s="380">
        <v>0</v>
      </c>
      <c r="M292" s="380">
        <f t="shared" si="27"/>
        <v>0</v>
      </c>
      <c r="N292" s="380">
        <v>0</v>
      </c>
      <c r="O292" s="380">
        <v>10000000</v>
      </c>
      <c r="P292" s="380">
        <f t="shared" si="28"/>
        <v>10000000</v>
      </c>
      <c r="Q292" s="36"/>
    </row>
    <row r="293" spans="1:17" ht="139.80000000000001" thickBot="1" x14ac:dyDescent="0.35">
      <c r="A293" s="414" t="s">
        <v>913</v>
      </c>
      <c r="B293" s="410" t="s">
        <v>914</v>
      </c>
      <c r="C293" s="391" t="s">
        <v>915</v>
      </c>
      <c r="D293" s="412" t="s">
        <v>765</v>
      </c>
      <c r="E293" s="411" t="s">
        <v>916</v>
      </c>
      <c r="F293" s="411" t="s">
        <v>917</v>
      </c>
      <c r="G293" s="411" t="s">
        <v>918</v>
      </c>
      <c r="H293" s="392">
        <v>195059</v>
      </c>
      <c r="I293" s="392">
        <v>0</v>
      </c>
      <c r="J293" s="392">
        <v>12000000</v>
      </c>
      <c r="K293" s="413">
        <f>SUM(H293:J293)</f>
        <v>12195059</v>
      </c>
      <c r="L293" s="380">
        <v>9500000</v>
      </c>
      <c r="M293" s="380">
        <f t="shared" si="27"/>
        <v>2695059</v>
      </c>
      <c r="N293" s="380">
        <v>0</v>
      </c>
      <c r="O293" s="380">
        <v>12000000</v>
      </c>
      <c r="P293" s="380">
        <f t="shared" si="28"/>
        <v>14695059</v>
      </c>
      <c r="Q293" s="36"/>
    </row>
    <row r="294" spans="1:17" ht="174.6" thickBot="1" x14ac:dyDescent="0.35">
      <c r="A294" s="414" t="s">
        <v>919</v>
      </c>
      <c r="B294" s="410" t="s">
        <v>920</v>
      </c>
      <c r="C294" s="391" t="s">
        <v>921</v>
      </c>
      <c r="D294" s="412" t="s">
        <v>765</v>
      </c>
      <c r="E294" s="411" t="s">
        <v>922</v>
      </c>
      <c r="F294" s="411" t="s">
        <v>878</v>
      </c>
      <c r="G294" s="411" t="s">
        <v>923</v>
      </c>
      <c r="H294" s="393">
        <v>3812820</v>
      </c>
      <c r="I294" s="392"/>
      <c r="J294" s="392">
        <v>2000000</v>
      </c>
      <c r="K294" s="413">
        <f>SUM(H294:J294)</f>
        <v>5812820</v>
      </c>
      <c r="L294" s="380">
        <v>720200</v>
      </c>
      <c r="M294" s="380">
        <f t="shared" si="27"/>
        <v>5092620</v>
      </c>
      <c r="N294" s="380">
        <v>0</v>
      </c>
      <c r="O294" s="380">
        <v>0</v>
      </c>
      <c r="P294" s="380">
        <f t="shared" si="28"/>
        <v>5092620</v>
      </c>
      <c r="Q294" s="36"/>
    </row>
    <row r="295" spans="1:17" ht="31.2" x14ac:dyDescent="0.3">
      <c r="A295" s="583" t="s">
        <v>924</v>
      </c>
      <c r="B295" s="415" t="s">
        <v>925</v>
      </c>
      <c r="C295" s="394" t="s">
        <v>926</v>
      </c>
      <c r="D295" s="417" t="s">
        <v>927</v>
      </c>
      <c r="E295" s="416" t="s">
        <v>928</v>
      </c>
      <c r="F295" s="416" t="s">
        <v>929</v>
      </c>
      <c r="G295" s="601" t="s">
        <v>930</v>
      </c>
      <c r="H295" s="395">
        <v>614250</v>
      </c>
      <c r="I295" s="395">
        <f>1000000</f>
        <v>1000000</v>
      </c>
      <c r="J295" s="592">
        <v>12000000</v>
      </c>
      <c r="K295" s="418">
        <f>I295+H295</f>
        <v>1614250</v>
      </c>
      <c r="L295" s="419">
        <v>1097000</v>
      </c>
      <c r="M295" s="380">
        <f t="shared" si="27"/>
        <v>517250</v>
      </c>
      <c r="N295" s="380">
        <v>0</v>
      </c>
      <c r="O295" s="380">
        <v>1500000</v>
      </c>
      <c r="P295" s="380">
        <f t="shared" si="28"/>
        <v>2017250</v>
      </c>
      <c r="Q295" s="36"/>
    </row>
    <row r="296" spans="1:17" ht="20.399999999999999" x14ac:dyDescent="0.3">
      <c r="A296" s="584"/>
      <c r="B296" s="420" t="s">
        <v>931</v>
      </c>
      <c r="C296" s="389" t="s">
        <v>932</v>
      </c>
      <c r="D296" s="406" t="s">
        <v>927</v>
      </c>
      <c r="E296" s="407" t="s">
        <v>933</v>
      </c>
      <c r="F296" s="407" t="s">
        <v>929</v>
      </c>
      <c r="G296" s="587"/>
      <c r="H296" s="380">
        <v>594240</v>
      </c>
      <c r="I296" s="380">
        <f>1000000</f>
        <v>1000000</v>
      </c>
      <c r="J296" s="593"/>
      <c r="K296" s="421">
        <f>I296+H296</f>
        <v>1594240</v>
      </c>
      <c r="L296" s="421">
        <f>726500</f>
        <v>726500</v>
      </c>
      <c r="M296" s="380">
        <f t="shared" si="27"/>
        <v>867740</v>
      </c>
      <c r="N296" s="380">
        <v>0</v>
      </c>
      <c r="O296" s="380">
        <v>0</v>
      </c>
      <c r="P296" s="380">
        <f t="shared" si="28"/>
        <v>867740</v>
      </c>
      <c r="Q296" s="36"/>
    </row>
    <row r="297" spans="1:17" ht="31.2" x14ac:dyDescent="0.3">
      <c r="A297" s="584"/>
      <c r="B297" s="420" t="s">
        <v>934</v>
      </c>
      <c r="C297" s="389" t="s">
        <v>935</v>
      </c>
      <c r="D297" s="406" t="s">
        <v>927</v>
      </c>
      <c r="E297" s="407" t="s">
        <v>936</v>
      </c>
      <c r="F297" s="407" t="s">
        <v>937</v>
      </c>
      <c r="G297" s="587"/>
      <c r="H297" s="380">
        <v>1400000</v>
      </c>
      <c r="I297" s="380">
        <v>0</v>
      </c>
      <c r="J297" s="593"/>
      <c r="K297" s="421">
        <f t="shared" ref="K297:K304" si="30">I297+H297</f>
        <v>1400000</v>
      </c>
      <c r="L297" s="421">
        <v>490000</v>
      </c>
      <c r="M297" s="380">
        <f t="shared" si="27"/>
        <v>910000</v>
      </c>
      <c r="N297" s="380">
        <v>0</v>
      </c>
      <c r="O297" s="380">
        <v>0</v>
      </c>
      <c r="P297" s="380">
        <f t="shared" si="28"/>
        <v>910000</v>
      </c>
      <c r="Q297" s="36"/>
    </row>
    <row r="298" spans="1:17" ht="31.2" x14ac:dyDescent="0.3">
      <c r="A298" s="584"/>
      <c r="B298" s="420" t="s">
        <v>938</v>
      </c>
      <c r="C298" s="389" t="s">
        <v>939</v>
      </c>
      <c r="D298" s="406" t="s">
        <v>927</v>
      </c>
      <c r="E298" s="407" t="s">
        <v>940</v>
      </c>
      <c r="F298" s="407" t="s">
        <v>929</v>
      </c>
      <c r="G298" s="587"/>
      <c r="H298" s="380">
        <v>-3079047</v>
      </c>
      <c r="I298" s="380">
        <f>7000000-500000+3300000</f>
        <v>9800000</v>
      </c>
      <c r="J298" s="593"/>
      <c r="K298" s="421">
        <f>I298+H298</f>
        <v>6720953</v>
      </c>
      <c r="L298" s="421">
        <f>5699400+1000000</f>
        <v>6699400</v>
      </c>
      <c r="M298" s="380">
        <f t="shared" si="27"/>
        <v>21553</v>
      </c>
      <c r="N298" s="380">
        <v>0</v>
      </c>
      <c r="O298" s="380">
        <v>1478447</v>
      </c>
      <c r="P298" s="380">
        <f t="shared" si="28"/>
        <v>1500000</v>
      </c>
      <c r="Q298" s="36"/>
    </row>
    <row r="299" spans="1:17" ht="31.2" x14ac:dyDescent="0.3">
      <c r="A299" s="584"/>
      <c r="B299" s="420" t="s">
        <v>941</v>
      </c>
      <c r="C299" s="389" t="s">
        <v>942</v>
      </c>
      <c r="D299" s="406" t="s">
        <v>943</v>
      </c>
      <c r="E299" s="407" t="s">
        <v>944</v>
      </c>
      <c r="F299" s="407" t="s">
        <v>945</v>
      </c>
      <c r="G299" s="602"/>
      <c r="H299" s="380">
        <v>140000</v>
      </c>
      <c r="I299" s="380">
        <v>4210000</v>
      </c>
      <c r="J299" s="593"/>
      <c r="K299" s="421">
        <f>I299+H299</f>
        <v>4350000</v>
      </c>
      <c r="L299" s="421">
        <v>3293000</v>
      </c>
      <c r="M299" s="380">
        <f t="shared" si="27"/>
        <v>1057000</v>
      </c>
      <c r="N299" s="380">
        <v>0</v>
      </c>
      <c r="O299" s="380">
        <v>3710000</v>
      </c>
      <c r="P299" s="380">
        <f t="shared" si="28"/>
        <v>4767000</v>
      </c>
      <c r="Q299" s="36"/>
    </row>
    <row r="300" spans="1:17" ht="31.2" x14ac:dyDescent="0.3">
      <c r="A300" s="584"/>
      <c r="B300" s="420" t="s">
        <v>946</v>
      </c>
      <c r="C300" s="389" t="s">
        <v>947</v>
      </c>
      <c r="D300" s="406">
        <v>42675</v>
      </c>
      <c r="E300" s="407" t="s">
        <v>948</v>
      </c>
      <c r="F300" s="407" t="s">
        <v>945</v>
      </c>
      <c r="G300" s="406" t="s">
        <v>949</v>
      </c>
      <c r="H300" s="380">
        <v>0</v>
      </c>
      <c r="I300" s="380">
        <v>1000000</v>
      </c>
      <c r="J300" s="593"/>
      <c r="K300" s="421">
        <f t="shared" si="30"/>
        <v>1000000</v>
      </c>
      <c r="L300" s="421">
        <v>0</v>
      </c>
      <c r="M300" s="380">
        <f t="shared" si="27"/>
        <v>1000000</v>
      </c>
      <c r="N300" s="380">
        <v>0</v>
      </c>
      <c r="O300" s="380">
        <v>1000000</v>
      </c>
      <c r="P300" s="380">
        <f t="shared" si="28"/>
        <v>2000000</v>
      </c>
      <c r="Q300" s="36"/>
    </row>
    <row r="301" spans="1:17" ht="78" x14ac:dyDescent="0.4">
      <c r="A301" s="584"/>
      <c r="B301" s="420" t="s">
        <v>950</v>
      </c>
      <c r="C301" s="389" t="s">
        <v>951</v>
      </c>
      <c r="D301" s="406">
        <v>42430</v>
      </c>
      <c r="E301" s="407" t="s">
        <v>952</v>
      </c>
      <c r="F301" s="407" t="s">
        <v>929</v>
      </c>
      <c r="G301" s="586" t="s">
        <v>930</v>
      </c>
      <c r="H301" s="380">
        <v>580400</v>
      </c>
      <c r="I301" s="380">
        <v>1000000</v>
      </c>
      <c r="J301" s="593"/>
      <c r="K301" s="421">
        <f t="shared" si="30"/>
        <v>1580400</v>
      </c>
      <c r="L301" s="421">
        <v>701400</v>
      </c>
      <c r="M301" s="380">
        <f t="shared" si="27"/>
        <v>879000</v>
      </c>
      <c r="N301" s="380">
        <v>0</v>
      </c>
      <c r="O301" s="380">
        <v>500000</v>
      </c>
      <c r="P301" s="380">
        <f t="shared" si="28"/>
        <v>1379000</v>
      </c>
      <c r="Q301" s="37"/>
    </row>
    <row r="302" spans="1:17" ht="31.2" x14ac:dyDescent="0.4">
      <c r="A302" s="584"/>
      <c r="B302" s="420" t="s">
        <v>953</v>
      </c>
      <c r="C302" s="389" t="s">
        <v>954</v>
      </c>
      <c r="D302" s="406">
        <v>42461</v>
      </c>
      <c r="E302" s="407" t="s">
        <v>955</v>
      </c>
      <c r="F302" s="407" t="s">
        <v>929</v>
      </c>
      <c r="G302" s="602"/>
      <c r="H302" s="380">
        <v>7000000</v>
      </c>
      <c r="I302" s="380">
        <v>-1000000</v>
      </c>
      <c r="J302" s="593"/>
      <c r="K302" s="421">
        <f>7000000-1000000</f>
        <v>6000000</v>
      </c>
      <c r="L302" s="421">
        <f>1872760+1308600+1889100+53125</f>
        <v>5123585</v>
      </c>
      <c r="M302" s="380">
        <f t="shared" si="27"/>
        <v>876415</v>
      </c>
      <c r="N302" s="380">
        <v>0</v>
      </c>
      <c r="O302" s="380">
        <v>1603585</v>
      </c>
      <c r="P302" s="380">
        <f t="shared" si="28"/>
        <v>2480000</v>
      </c>
      <c r="Q302" s="37"/>
    </row>
    <row r="303" spans="1:17" ht="31.2" x14ac:dyDescent="0.3">
      <c r="A303" s="584"/>
      <c r="B303" s="420" t="s">
        <v>956</v>
      </c>
      <c r="C303" s="389" t="s">
        <v>957</v>
      </c>
      <c r="D303" s="406" t="s">
        <v>335</v>
      </c>
      <c r="E303" s="407" t="s">
        <v>958</v>
      </c>
      <c r="F303" s="407" t="s">
        <v>959</v>
      </c>
      <c r="G303" s="406" t="s">
        <v>960</v>
      </c>
      <c r="H303" s="380">
        <v>-97595</v>
      </c>
      <c r="I303" s="380">
        <v>325190</v>
      </c>
      <c r="J303" s="593"/>
      <c r="K303" s="421">
        <f t="shared" si="30"/>
        <v>227595</v>
      </c>
      <c r="L303" s="421">
        <f>280720-53125</f>
        <v>227595</v>
      </c>
      <c r="M303" s="380">
        <f t="shared" si="27"/>
        <v>0</v>
      </c>
      <c r="N303" s="380">
        <v>23400</v>
      </c>
      <c r="O303" s="380">
        <v>256560</v>
      </c>
      <c r="P303" s="380">
        <f t="shared" si="28"/>
        <v>279960</v>
      </c>
      <c r="Q303" s="36"/>
    </row>
    <row r="304" spans="1:17" ht="31.2" x14ac:dyDescent="0.3">
      <c r="A304" s="584"/>
      <c r="B304" s="420" t="s">
        <v>961</v>
      </c>
      <c r="C304" s="389" t="s">
        <v>962</v>
      </c>
      <c r="D304" s="406" t="s">
        <v>963</v>
      </c>
      <c r="E304" s="407" t="s">
        <v>964</v>
      </c>
      <c r="F304" s="407" t="s">
        <v>965</v>
      </c>
      <c r="G304" s="406" t="s">
        <v>930</v>
      </c>
      <c r="H304" s="380">
        <v>3152400</v>
      </c>
      <c r="I304" s="380">
        <f>-2000000</f>
        <v>-2000000</v>
      </c>
      <c r="J304" s="593"/>
      <c r="K304" s="421">
        <f t="shared" si="30"/>
        <v>1152400</v>
      </c>
      <c r="L304" s="421">
        <f>3461000-1000000-1308600</f>
        <v>1152400</v>
      </c>
      <c r="M304" s="380">
        <f t="shared" si="27"/>
        <v>0</v>
      </c>
      <c r="N304" s="380">
        <v>0</v>
      </c>
      <c r="O304" s="380">
        <v>500000</v>
      </c>
      <c r="P304" s="380">
        <f t="shared" si="28"/>
        <v>500000</v>
      </c>
      <c r="Q304" s="36"/>
    </row>
    <row r="305" spans="1:17" ht="31.2" x14ac:dyDescent="0.3">
      <c r="A305" s="584"/>
      <c r="B305" s="420" t="s">
        <v>966</v>
      </c>
      <c r="C305" s="389" t="s">
        <v>967</v>
      </c>
      <c r="D305" s="406">
        <v>42401</v>
      </c>
      <c r="E305" s="407" t="s">
        <v>968</v>
      </c>
      <c r="F305" s="407" t="s">
        <v>969</v>
      </c>
      <c r="G305" s="406" t="s">
        <v>918</v>
      </c>
      <c r="H305" s="380">
        <v>59500</v>
      </c>
      <c r="I305" s="380">
        <v>0</v>
      </c>
      <c r="J305" s="593"/>
      <c r="K305" s="421">
        <f>I305+H305</f>
        <v>59500</v>
      </c>
      <c r="L305" s="421">
        <v>0</v>
      </c>
      <c r="M305" s="380">
        <f t="shared" si="27"/>
        <v>59500</v>
      </c>
      <c r="N305" s="380">
        <v>0</v>
      </c>
      <c r="O305" s="380">
        <v>3000000</v>
      </c>
      <c r="P305" s="380">
        <f t="shared" si="28"/>
        <v>3059500</v>
      </c>
      <c r="Q305" s="36"/>
    </row>
    <row r="306" spans="1:17" ht="31.2" x14ac:dyDescent="0.3">
      <c r="A306" s="584"/>
      <c r="B306" s="420" t="s">
        <v>970</v>
      </c>
      <c r="C306" s="389" t="s">
        <v>971</v>
      </c>
      <c r="D306" s="406">
        <v>42278</v>
      </c>
      <c r="E306" s="407" t="s">
        <v>972</v>
      </c>
      <c r="F306" s="407" t="s">
        <v>965</v>
      </c>
      <c r="G306" s="406" t="s">
        <v>930</v>
      </c>
      <c r="H306" s="380">
        <v>2000000</v>
      </c>
      <c r="I306" s="380">
        <v>0</v>
      </c>
      <c r="J306" s="593"/>
      <c r="K306" s="421">
        <f>H306</f>
        <v>2000000</v>
      </c>
      <c r="L306" s="421">
        <f>3889100-1889100</f>
        <v>2000000</v>
      </c>
      <c r="M306" s="380">
        <f t="shared" si="27"/>
        <v>0</v>
      </c>
      <c r="N306" s="380">
        <v>0</v>
      </c>
      <c r="O306" s="380">
        <v>0</v>
      </c>
      <c r="P306" s="380">
        <f t="shared" si="28"/>
        <v>0</v>
      </c>
      <c r="Q306" s="36"/>
    </row>
    <row r="307" spans="1:17" ht="20.399999999999999" x14ac:dyDescent="0.3">
      <c r="A307" s="584"/>
      <c r="B307" s="420" t="s">
        <v>973</v>
      </c>
      <c r="C307" s="389" t="s">
        <v>974</v>
      </c>
      <c r="D307" s="406">
        <v>42401</v>
      </c>
      <c r="E307" s="407" t="s">
        <v>136</v>
      </c>
      <c r="F307" s="407" t="s">
        <v>975</v>
      </c>
      <c r="G307" s="586" t="s">
        <v>930</v>
      </c>
      <c r="H307" s="380">
        <v>0</v>
      </c>
      <c r="I307" s="380">
        <v>100000</v>
      </c>
      <c r="J307" s="593"/>
      <c r="K307" s="421">
        <v>100000</v>
      </c>
      <c r="L307" s="421">
        <v>100000</v>
      </c>
      <c r="M307" s="380">
        <f t="shared" si="27"/>
        <v>0</v>
      </c>
      <c r="N307" s="380">
        <v>11200</v>
      </c>
      <c r="O307" s="380">
        <v>100000</v>
      </c>
      <c r="P307" s="380">
        <f t="shared" si="28"/>
        <v>111200</v>
      </c>
      <c r="Q307" s="36"/>
    </row>
    <row r="308" spans="1:17" ht="46.8" x14ac:dyDescent="0.3">
      <c r="A308" s="584"/>
      <c r="B308" s="420" t="s">
        <v>976</v>
      </c>
      <c r="C308" s="389" t="s">
        <v>977</v>
      </c>
      <c r="D308" s="406">
        <v>42614</v>
      </c>
      <c r="E308" s="407" t="s">
        <v>978</v>
      </c>
      <c r="F308" s="588" t="s">
        <v>979</v>
      </c>
      <c r="G308" s="587"/>
      <c r="H308" s="380">
        <v>0</v>
      </c>
      <c r="I308" s="380">
        <v>1500000</v>
      </c>
      <c r="J308" s="593"/>
      <c r="K308" s="421">
        <v>400000</v>
      </c>
      <c r="L308" s="421">
        <v>400000</v>
      </c>
      <c r="M308" s="380">
        <f t="shared" si="27"/>
        <v>0</v>
      </c>
      <c r="N308" s="380">
        <v>0</v>
      </c>
      <c r="O308" s="380">
        <v>400000</v>
      </c>
      <c r="P308" s="380">
        <f t="shared" si="28"/>
        <v>400000</v>
      </c>
      <c r="Q308" s="36"/>
    </row>
    <row r="309" spans="1:17" ht="31.2" x14ac:dyDescent="0.3">
      <c r="A309" s="584"/>
      <c r="B309" s="420" t="s">
        <v>980</v>
      </c>
      <c r="C309" s="389" t="s">
        <v>981</v>
      </c>
      <c r="D309" s="406">
        <v>42644</v>
      </c>
      <c r="E309" s="407" t="s">
        <v>982</v>
      </c>
      <c r="F309" s="603"/>
      <c r="G309" s="587"/>
      <c r="H309" s="380">
        <v>0</v>
      </c>
      <c r="I309" s="380">
        <v>100000</v>
      </c>
      <c r="J309" s="593"/>
      <c r="K309" s="421">
        <f>I309</f>
        <v>100000</v>
      </c>
      <c r="L309" s="421">
        <v>0</v>
      </c>
      <c r="M309" s="380">
        <f t="shared" si="27"/>
        <v>100000</v>
      </c>
      <c r="N309" s="380">
        <v>0</v>
      </c>
      <c r="O309" s="380">
        <v>650000</v>
      </c>
      <c r="P309" s="380">
        <f>SUM(M309:O309)</f>
        <v>750000</v>
      </c>
      <c r="Q309" s="36"/>
    </row>
    <row r="310" spans="1:17" ht="31.2" x14ac:dyDescent="0.3">
      <c r="A310" s="584"/>
      <c r="B310" s="420" t="s">
        <v>983</v>
      </c>
      <c r="C310" s="389" t="s">
        <v>984</v>
      </c>
      <c r="D310" s="406">
        <v>42461</v>
      </c>
      <c r="E310" s="407" t="s">
        <v>985</v>
      </c>
      <c r="F310" s="407" t="s">
        <v>979</v>
      </c>
      <c r="G310" s="602"/>
      <c r="H310" s="380">
        <v>0</v>
      </c>
      <c r="I310" s="380">
        <f>3000000-1000000</f>
        <v>2000000</v>
      </c>
      <c r="J310" s="593"/>
      <c r="K310" s="421">
        <f>2000000</f>
        <v>2000000</v>
      </c>
      <c r="L310" s="421">
        <v>0</v>
      </c>
      <c r="M310" s="380">
        <f t="shared" si="27"/>
        <v>2000000</v>
      </c>
      <c r="N310" s="380">
        <v>-400000</v>
      </c>
      <c r="O310" s="380">
        <v>0</v>
      </c>
      <c r="P310" s="380">
        <f t="shared" si="28"/>
        <v>1600000</v>
      </c>
      <c r="Q310" s="36"/>
    </row>
    <row r="311" spans="1:17" ht="47.4" thickBot="1" x14ac:dyDescent="0.35">
      <c r="A311" s="584"/>
      <c r="B311" s="422" t="s">
        <v>986</v>
      </c>
      <c r="C311" s="396" t="s">
        <v>987</v>
      </c>
      <c r="D311" s="424"/>
      <c r="E311" s="423" t="s">
        <v>988</v>
      </c>
      <c r="F311" s="425"/>
      <c r="G311" s="426"/>
      <c r="H311" s="397">
        <v>828100</v>
      </c>
      <c r="I311" s="397">
        <v>828100</v>
      </c>
      <c r="J311" s="593"/>
      <c r="K311" s="427">
        <f>I311+H311</f>
        <v>1656200</v>
      </c>
      <c r="L311" s="427">
        <v>1645000</v>
      </c>
      <c r="M311" s="380">
        <f t="shared" si="27"/>
        <v>11200</v>
      </c>
      <c r="N311" s="380">
        <v>-11200</v>
      </c>
      <c r="O311" s="380">
        <v>0</v>
      </c>
      <c r="P311" s="380">
        <f t="shared" si="28"/>
        <v>0</v>
      </c>
      <c r="Q311" s="36"/>
    </row>
    <row r="312" spans="1:17" ht="109.8" thickBot="1" x14ac:dyDescent="0.35">
      <c r="A312" s="585"/>
      <c r="B312" s="422" t="s">
        <v>989</v>
      </c>
      <c r="C312" s="396" t="s">
        <v>990</v>
      </c>
      <c r="D312" s="424"/>
      <c r="E312" s="423"/>
      <c r="F312" s="423"/>
      <c r="G312" s="424"/>
      <c r="H312" s="398"/>
      <c r="I312" s="398"/>
      <c r="J312" s="594"/>
      <c r="K312" s="428"/>
      <c r="L312" s="380">
        <v>0</v>
      </c>
      <c r="M312" s="380">
        <f t="shared" si="27"/>
        <v>0</v>
      </c>
      <c r="N312" s="380">
        <v>0</v>
      </c>
      <c r="O312" s="380">
        <v>15301408</v>
      </c>
      <c r="P312" s="380">
        <f t="shared" si="28"/>
        <v>15301408</v>
      </c>
      <c r="Q312" s="36"/>
    </row>
    <row r="313" spans="1:17" ht="279" thickBot="1" x14ac:dyDescent="0.35">
      <c r="A313" s="414" t="s">
        <v>991</v>
      </c>
      <c r="B313" s="410" t="s">
        <v>992</v>
      </c>
      <c r="C313" s="391" t="s">
        <v>993</v>
      </c>
      <c r="D313" s="412" t="s">
        <v>765</v>
      </c>
      <c r="E313" s="411" t="s">
        <v>994</v>
      </c>
      <c r="F313" s="411" t="s">
        <v>995</v>
      </c>
      <c r="G313" s="411" t="s">
        <v>923</v>
      </c>
      <c r="H313" s="393">
        <v>-2296620</v>
      </c>
      <c r="I313" s="392">
        <f>1000000+2000000</f>
        <v>3000000</v>
      </c>
      <c r="J313" s="392">
        <v>5000000</v>
      </c>
      <c r="K313" s="413">
        <f>(H313+I313+J313)</f>
        <v>5703380</v>
      </c>
      <c r="L313" s="380">
        <v>1580200</v>
      </c>
      <c r="M313" s="380">
        <f t="shared" si="27"/>
        <v>4123180</v>
      </c>
      <c r="N313" s="380">
        <v>0</v>
      </c>
      <c r="O313" s="380">
        <v>0</v>
      </c>
      <c r="P313" s="380">
        <f t="shared" si="28"/>
        <v>4123180</v>
      </c>
      <c r="Q313" s="36"/>
    </row>
    <row r="314" spans="1:17" ht="31.2" x14ac:dyDescent="0.3">
      <c r="A314" s="583" t="s">
        <v>996</v>
      </c>
      <c r="B314" s="415" t="s">
        <v>997</v>
      </c>
      <c r="C314" s="394" t="s">
        <v>998</v>
      </c>
      <c r="D314" s="417" t="s">
        <v>765</v>
      </c>
      <c r="E314" s="407" t="s">
        <v>999</v>
      </c>
      <c r="F314" s="407" t="s">
        <v>1000</v>
      </c>
      <c r="G314" s="577" t="s">
        <v>1001</v>
      </c>
      <c r="H314" s="395">
        <v>8000000</v>
      </c>
      <c r="I314" s="395">
        <f>K314-H314</f>
        <v>-6478447</v>
      </c>
      <c r="J314" s="395">
        <v>0</v>
      </c>
      <c r="K314" s="418">
        <f>721553+800000</f>
        <v>1521553</v>
      </c>
      <c r="L314" s="419">
        <v>0</v>
      </c>
      <c r="M314" s="380">
        <f t="shared" si="27"/>
        <v>1521553</v>
      </c>
      <c r="N314" s="380">
        <v>0</v>
      </c>
      <c r="O314" s="380">
        <v>0</v>
      </c>
      <c r="P314" s="380">
        <f t="shared" si="28"/>
        <v>1521553</v>
      </c>
      <c r="Q314" s="36"/>
    </row>
    <row r="315" spans="1:17" ht="46.8" x14ac:dyDescent="0.3">
      <c r="A315" s="584"/>
      <c r="B315" s="420" t="s">
        <v>1002</v>
      </c>
      <c r="C315" s="389" t="s">
        <v>1003</v>
      </c>
      <c r="D315" s="406" t="s">
        <v>765</v>
      </c>
      <c r="E315" s="407" t="s">
        <v>1004</v>
      </c>
      <c r="F315" s="407" t="s">
        <v>1000</v>
      </c>
      <c r="G315" s="578"/>
      <c r="H315" s="380">
        <f>2000000+24805</f>
        <v>2024805</v>
      </c>
      <c r="I315" s="429">
        <f>K315-H315</f>
        <v>7275462</v>
      </c>
      <c r="J315" s="380">
        <v>0</v>
      </c>
      <c r="K315" s="430">
        <v>9300267</v>
      </c>
      <c r="L315" s="430">
        <v>7992503</v>
      </c>
      <c r="M315" s="380">
        <f t="shared" si="27"/>
        <v>1307764</v>
      </c>
      <c r="N315" s="385">
        <v>0</v>
      </c>
      <c r="O315" s="380">
        <v>0</v>
      </c>
      <c r="P315" s="380">
        <f t="shared" si="28"/>
        <v>1307764</v>
      </c>
      <c r="Q315" s="36"/>
    </row>
    <row r="316" spans="1:17" ht="46.8" x14ac:dyDescent="0.3">
      <c r="A316" s="584"/>
      <c r="B316" s="420" t="s">
        <v>1005</v>
      </c>
      <c r="C316" s="389" t="s">
        <v>1006</v>
      </c>
      <c r="D316" s="406" t="s">
        <v>765</v>
      </c>
      <c r="E316" s="407" t="s">
        <v>1007</v>
      </c>
      <c r="F316" s="407" t="s">
        <v>1008</v>
      </c>
      <c r="G316" s="578"/>
      <c r="H316" s="380">
        <v>0</v>
      </c>
      <c r="I316" s="429">
        <v>3000000</v>
      </c>
      <c r="J316" s="380">
        <v>0</v>
      </c>
      <c r="K316" s="430">
        <v>3000000</v>
      </c>
      <c r="L316" s="430">
        <v>2226000</v>
      </c>
      <c r="M316" s="380">
        <f t="shared" si="27"/>
        <v>774000</v>
      </c>
      <c r="N316" s="385">
        <v>0</v>
      </c>
      <c r="O316" s="380">
        <v>0</v>
      </c>
      <c r="P316" s="380">
        <f t="shared" si="28"/>
        <v>774000</v>
      </c>
      <c r="Q316" s="36"/>
    </row>
    <row r="317" spans="1:17" ht="109.2" x14ac:dyDescent="0.3">
      <c r="A317" s="584"/>
      <c r="B317" s="420" t="s">
        <v>1009</v>
      </c>
      <c r="C317" s="465" t="s">
        <v>1010</v>
      </c>
      <c r="D317" s="406" t="s">
        <v>765</v>
      </c>
      <c r="E317" s="407" t="s">
        <v>1011</v>
      </c>
      <c r="F317" s="407" t="s">
        <v>1012</v>
      </c>
      <c r="G317" s="578"/>
      <c r="H317" s="380">
        <v>0</v>
      </c>
      <c r="I317" s="429">
        <v>2000000</v>
      </c>
      <c r="J317" s="380">
        <v>0</v>
      </c>
      <c r="K317" s="430">
        <v>2000000</v>
      </c>
      <c r="L317" s="430">
        <v>0</v>
      </c>
      <c r="M317" s="380">
        <f t="shared" si="27"/>
        <v>2000000</v>
      </c>
      <c r="N317" s="385">
        <v>400000</v>
      </c>
      <c r="O317" s="380">
        <v>0</v>
      </c>
      <c r="P317" s="380">
        <f t="shared" si="28"/>
        <v>2400000</v>
      </c>
      <c r="Q317" s="36"/>
    </row>
    <row r="318" spans="1:17" ht="31.2" x14ac:dyDescent="0.3">
      <c r="A318" s="584"/>
      <c r="B318" s="420" t="s">
        <v>1013</v>
      </c>
      <c r="C318" s="389" t="s">
        <v>1014</v>
      </c>
      <c r="D318" s="406" t="s">
        <v>765</v>
      </c>
      <c r="E318" s="407" t="s">
        <v>1015</v>
      </c>
      <c r="F318" s="407" t="s">
        <v>1016</v>
      </c>
      <c r="G318" s="578"/>
      <c r="H318" s="397">
        <v>1500000</v>
      </c>
      <c r="I318" s="429">
        <v>1125465</v>
      </c>
      <c r="J318" s="380">
        <v>0</v>
      </c>
      <c r="K318" s="421">
        <f>SUM(H318:J318)</f>
        <v>2625465</v>
      </c>
      <c r="L318" s="421">
        <v>0</v>
      </c>
      <c r="M318" s="380">
        <f t="shared" si="27"/>
        <v>2625465</v>
      </c>
      <c r="N318" s="380">
        <v>0</v>
      </c>
      <c r="O318" s="380">
        <v>0</v>
      </c>
      <c r="P318" s="380">
        <f t="shared" si="28"/>
        <v>2625465</v>
      </c>
      <c r="Q318" s="36"/>
    </row>
    <row r="319" spans="1:17" ht="47.4" thickBot="1" x14ac:dyDescent="0.35">
      <c r="A319" s="584"/>
      <c r="B319" s="422" t="s">
        <v>1017</v>
      </c>
      <c r="C319" s="396" t="s">
        <v>1018</v>
      </c>
      <c r="D319" s="406" t="s">
        <v>1019</v>
      </c>
      <c r="E319" s="423" t="s">
        <v>1020</v>
      </c>
      <c r="F319" s="407" t="s">
        <v>1016</v>
      </c>
      <c r="G319" s="578"/>
      <c r="H319" s="397">
        <v>0</v>
      </c>
      <c r="I319" s="431">
        <v>1500000</v>
      </c>
      <c r="J319" s="397"/>
      <c r="K319" s="432">
        <f>I319</f>
        <v>1500000</v>
      </c>
      <c r="L319" s="432">
        <v>0</v>
      </c>
      <c r="M319" s="380">
        <f t="shared" si="27"/>
        <v>1500000</v>
      </c>
      <c r="N319" s="380">
        <v>0</v>
      </c>
      <c r="O319" s="380">
        <v>0</v>
      </c>
      <c r="P319" s="380">
        <f t="shared" si="28"/>
        <v>1500000</v>
      </c>
      <c r="Q319" s="36"/>
    </row>
    <row r="320" spans="1:17" ht="94.2" thickBot="1" x14ac:dyDescent="0.35">
      <c r="A320" s="585"/>
      <c r="B320" s="422" t="s">
        <v>1021</v>
      </c>
      <c r="C320" s="396" t="s">
        <v>1022</v>
      </c>
      <c r="D320" s="406"/>
      <c r="E320" s="423"/>
      <c r="F320" s="407"/>
      <c r="G320" s="579"/>
      <c r="H320" s="398"/>
      <c r="I320" s="433"/>
      <c r="J320" s="398"/>
      <c r="K320" s="428">
        <v>0</v>
      </c>
      <c r="L320" s="380">
        <v>0</v>
      </c>
      <c r="M320" s="380">
        <f t="shared" si="27"/>
        <v>0</v>
      </c>
      <c r="N320" s="380">
        <v>0</v>
      </c>
      <c r="O320" s="380">
        <v>10000000</v>
      </c>
      <c r="P320" s="380">
        <f t="shared" si="28"/>
        <v>10000000</v>
      </c>
      <c r="Q320" s="36"/>
    </row>
    <row r="321" spans="1:17" ht="78" x14ac:dyDescent="0.3">
      <c r="A321" s="589" t="s">
        <v>1148</v>
      </c>
      <c r="B321" s="415" t="s">
        <v>1023</v>
      </c>
      <c r="C321" s="394" t="s">
        <v>1024</v>
      </c>
      <c r="D321" s="417">
        <v>42735</v>
      </c>
      <c r="E321" s="416" t="s">
        <v>1025</v>
      </c>
      <c r="F321" s="416" t="s">
        <v>1026</v>
      </c>
      <c r="G321" s="577" t="s">
        <v>1027</v>
      </c>
      <c r="H321" s="395">
        <v>-3469976</v>
      </c>
      <c r="I321" s="434">
        <v>3469976</v>
      </c>
      <c r="J321" s="592">
        <v>5000000</v>
      </c>
      <c r="K321" s="435">
        <f>H321+I321</f>
        <v>0</v>
      </c>
      <c r="L321" s="382">
        <v>0</v>
      </c>
      <c r="M321" s="380">
        <f t="shared" si="27"/>
        <v>0</v>
      </c>
      <c r="N321" s="382">
        <v>0</v>
      </c>
      <c r="O321" s="382">
        <v>4961432</v>
      </c>
      <c r="P321" s="380">
        <f t="shared" si="28"/>
        <v>4961432</v>
      </c>
      <c r="Q321" s="36"/>
    </row>
    <row r="322" spans="1:17" ht="31.2" x14ac:dyDescent="0.3">
      <c r="A322" s="590"/>
      <c r="B322" s="420" t="s">
        <v>1028</v>
      </c>
      <c r="C322" s="389" t="s">
        <v>1029</v>
      </c>
      <c r="D322" s="406">
        <v>42735</v>
      </c>
      <c r="E322" s="407" t="s">
        <v>1030</v>
      </c>
      <c r="F322" s="407" t="s">
        <v>1026</v>
      </c>
      <c r="G322" s="578"/>
      <c r="H322" s="380">
        <v>4000000</v>
      </c>
      <c r="I322" s="380">
        <v>-500000</v>
      </c>
      <c r="J322" s="593"/>
      <c r="K322" s="421">
        <f>H322+I322</f>
        <v>3500000</v>
      </c>
      <c r="L322" s="421">
        <v>1967400</v>
      </c>
      <c r="M322" s="380">
        <f t="shared" si="27"/>
        <v>1532600</v>
      </c>
      <c r="N322" s="380">
        <v>0</v>
      </c>
      <c r="O322" s="380">
        <v>0</v>
      </c>
      <c r="P322" s="380">
        <f t="shared" si="28"/>
        <v>1532600</v>
      </c>
      <c r="Q322" s="36"/>
    </row>
    <row r="323" spans="1:17" ht="46.8" x14ac:dyDescent="0.3">
      <c r="A323" s="590"/>
      <c r="B323" s="420" t="s">
        <v>1031</v>
      </c>
      <c r="C323" s="389" t="s">
        <v>1032</v>
      </c>
      <c r="D323" s="406">
        <v>42735</v>
      </c>
      <c r="E323" s="407" t="s">
        <v>1033</v>
      </c>
      <c r="F323" s="407" t="s">
        <v>1026</v>
      </c>
      <c r="G323" s="578"/>
      <c r="H323" s="380">
        <v>681260</v>
      </c>
      <c r="I323" s="380">
        <v>358740</v>
      </c>
      <c r="J323" s="593"/>
      <c r="K323" s="421">
        <v>1040000</v>
      </c>
      <c r="L323" s="421">
        <f>1078568-38568</f>
        <v>1040000</v>
      </c>
      <c r="M323" s="380">
        <f t="shared" si="27"/>
        <v>0</v>
      </c>
      <c r="N323" s="380">
        <v>0</v>
      </c>
      <c r="O323" s="380">
        <v>0</v>
      </c>
      <c r="P323" s="380">
        <f t="shared" si="28"/>
        <v>0</v>
      </c>
      <c r="Q323" s="36"/>
    </row>
    <row r="324" spans="1:17" ht="47.4" thickBot="1" x14ac:dyDescent="0.35">
      <c r="A324" s="591"/>
      <c r="B324" s="422" t="s">
        <v>1034</v>
      </c>
      <c r="C324" s="396" t="s">
        <v>1035</v>
      </c>
      <c r="D324" s="424">
        <v>42735</v>
      </c>
      <c r="E324" s="423" t="s">
        <v>1033</v>
      </c>
      <c r="F324" s="423" t="s">
        <v>1026</v>
      </c>
      <c r="G324" s="579"/>
      <c r="H324" s="398">
        <v>0</v>
      </c>
      <c r="I324" s="398">
        <f>1560000-260000</f>
        <v>1300000</v>
      </c>
      <c r="J324" s="594"/>
      <c r="K324" s="428">
        <f>I324+H324</f>
        <v>1300000</v>
      </c>
      <c r="L324" s="421">
        <v>38568</v>
      </c>
      <c r="M324" s="380">
        <f t="shared" si="27"/>
        <v>1261432</v>
      </c>
      <c r="N324" s="380">
        <v>0</v>
      </c>
      <c r="O324" s="380">
        <v>38568</v>
      </c>
      <c r="P324" s="380">
        <f t="shared" si="28"/>
        <v>1300000</v>
      </c>
      <c r="Q324" s="36"/>
    </row>
    <row r="325" spans="1:17" ht="31.2" x14ac:dyDescent="0.3">
      <c r="A325" s="583" t="s">
        <v>1149</v>
      </c>
      <c r="B325" s="415" t="s">
        <v>1036</v>
      </c>
      <c r="C325" s="394" t="s">
        <v>1037</v>
      </c>
      <c r="D325" s="417">
        <v>42735</v>
      </c>
      <c r="E325" s="416" t="s">
        <v>1038</v>
      </c>
      <c r="F325" s="416" t="s">
        <v>1026</v>
      </c>
      <c r="G325" s="577" t="s">
        <v>1039</v>
      </c>
      <c r="H325" s="395">
        <v>124000</v>
      </c>
      <c r="I325" s="395">
        <v>0</v>
      </c>
      <c r="J325" s="592">
        <v>4000000</v>
      </c>
      <c r="K325" s="418">
        <v>124000</v>
      </c>
      <c r="L325" s="419">
        <f>184200-60200</f>
        <v>124000</v>
      </c>
      <c r="M325" s="380">
        <f t="shared" si="27"/>
        <v>0</v>
      </c>
      <c r="N325" s="380">
        <v>0</v>
      </c>
      <c r="O325" s="380">
        <v>0</v>
      </c>
      <c r="P325" s="380">
        <f t="shared" si="28"/>
        <v>0</v>
      </c>
      <c r="Q325" s="36"/>
    </row>
    <row r="326" spans="1:17" ht="46.8" x14ac:dyDescent="0.3">
      <c r="A326" s="584"/>
      <c r="B326" s="420" t="s">
        <v>1040</v>
      </c>
      <c r="C326" s="389" t="s">
        <v>1041</v>
      </c>
      <c r="D326" s="406">
        <v>42735</v>
      </c>
      <c r="E326" s="407" t="s">
        <v>1042</v>
      </c>
      <c r="F326" s="407" t="s">
        <v>1026</v>
      </c>
      <c r="G326" s="578"/>
      <c r="H326" s="380">
        <v>400000</v>
      </c>
      <c r="I326" s="380">
        <v>0</v>
      </c>
      <c r="J326" s="593"/>
      <c r="K326" s="421">
        <f>H326+I326</f>
        <v>400000</v>
      </c>
      <c r="L326" s="421">
        <f>153000+210000</f>
        <v>363000</v>
      </c>
      <c r="M326" s="380">
        <f t="shared" si="27"/>
        <v>37000</v>
      </c>
      <c r="N326" s="380">
        <v>-37000</v>
      </c>
      <c r="O326" s="380">
        <v>0</v>
      </c>
      <c r="P326" s="380">
        <f t="shared" si="28"/>
        <v>0</v>
      </c>
      <c r="Q326" s="36"/>
    </row>
    <row r="327" spans="1:17" ht="31.2" x14ac:dyDescent="0.3">
      <c r="A327" s="584"/>
      <c r="B327" s="420" t="s">
        <v>1043</v>
      </c>
      <c r="C327" s="389" t="s">
        <v>1044</v>
      </c>
      <c r="D327" s="406">
        <v>42735</v>
      </c>
      <c r="E327" s="407" t="s">
        <v>1045</v>
      </c>
      <c r="F327" s="407" t="s">
        <v>1026</v>
      </c>
      <c r="G327" s="578"/>
      <c r="H327" s="380">
        <v>124000</v>
      </c>
      <c r="I327" s="380">
        <v>0</v>
      </c>
      <c r="J327" s="593"/>
      <c r="K327" s="421">
        <f>SUM(H327:I327)</f>
        <v>124000</v>
      </c>
      <c r="L327" s="421">
        <v>60200</v>
      </c>
      <c r="M327" s="380">
        <f t="shared" si="27"/>
        <v>63800</v>
      </c>
      <c r="N327" s="380">
        <v>-63800</v>
      </c>
      <c r="O327" s="380">
        <v>0</v>
      </c>
      <c r="P327" s="380">
        <f t="shared" si="28"/>
        <v>0</v>
      </c>
      <c r="Q327" s="36"/>
    </row>
    <row r="328" spans="1:17" ht="31.2" x14ac:dyDescent="0.3">
      <c r="A328" s="584"/>
      <c r="B328" s="420" t="s">
        <v>1046</v>
      </c>
      <c r="C328" s="389" t="s">
        <v>1047</v>
      </c>
      <c r="D328" s="406">
        <v>42735</v>
      </c>
      <c r="E328" s="407" t="s">
        <v>1048</v>
      </c>
      <c r="F328" s="407" t="s">
        <v>1026</v>
      </c>
      <c r="G328" s="578"/>
      <c r="H328" s="380">
        <v>1000000</v>
      </c>
      <c r="I328" s="380">
        <v>0</v>
      </c>
      <c r="J328" s="593"/>
      <c r="K328" s="421">
        <f t="shared" ref="K328:K333" si="31">H328+I328</f>
        <v>1000000</v>
      </c>
      <c r="L328" s="421">
        <v>0</v>
      </c>
      <c r="M328" s="380">
        <f t="shared" si="27"/>
        <v>1000000</v>
      </c>
      <c r="N328" s="380">
        <v>-1000000</v>
      </c>
      <c r="O328" s="380">
        <v>0</v>
      </c>
      <c r="P328" s="380">
        <f t="shared" si="28"/>
        <v>0</v>
      </c>
      <c r="Q328" s="36"/>
    </row>
    <row r="329" spans="1:17" ht="31.2" x14ac:dyDescent="0.3">
      <c r="A329" s="584"/>
      <c r="B329" s="420" t="s">
        <v>1049</v>
      </c>
      <c r="C329" s="389" t="s">
        <v>1050</v>
      </c>
      <c r="D329" s="406">
        <v>42735</v>
      </c>
      <c r="E329" s="407" t="s">
        <v>1051</v>
      </c>
      <c r="F329" s="407" t="s">
        <v>1026</v>
      </c>
      <c r="G329" s="578"/>
      <c r="H329" s="380">
        <v>124000</v>
      </c>
      <c r="I329" s="380">
        <v>0</v>
      </c>
      <c r="J329" s="593"/>
      <c r="K329" s="421">
        <f t="shared" si="31"/>
        <v>124000</v>
      </c>
      <c r="L329" s="421">
        <v>0</v>
      </c>
      <c r="M329" s="380">
        <f t="shared" si="27"/>
        <v>124000</v>
      </c>
      <c r="N329" s="380">
        <v>-124000</v>
      </c>
      <c r="O329" s="380">
        <v>0</v>
      </c>
      <c r="P329" s="380">
        <f t="shared" si="28"/>
        <v>0</v>
      </c>
      <c r="Q329" s="36"/>
    </row>
    <row r="330" spans="1:17" ht="46.8" x14ac:dyDescent="0.3">
      <c r="A330" s="584"/>
      <c r="B330" s="420" t="s">
        <v>1052</v>
      </c>
      <c r="C330" s="389" t="s">
        <v>1053</v>
      </c>
      <c r="D330" s="406">
        <v>42735</v>
      </c>
      <c r="E330" s="407" t="s">
        <v>1054</v>
      </c>
      <c r="F330" s="407" t="s">
        <v>1026</v>
      </c>
      <c r="G330" s="578"/>
      <c r="H330" s="380">
        <v>-2040100</v>
      </c>
      <c r="I330" s="380">
        <f>1200000+2040100</f>
        <v>3240100</v>
      </c>
      <c r="J330" s="593"/>
      <c r="K330" s="421">
        <f t="shared" si="31"/>
        <v>1200000</v>
      </c>
      <c r="L330" s="421">
        <v>0</v>
      </c>
      <c r="M330" s="380">
        <f t="shared" si="27"/>
        <v>1200000</v>
      </c>
      <c r="N330" s="380">
        <v>177000</v>
      </c>
      <c r="O330" s="380">
        <v>0</v>
      </c>
      <c r="P330" s="380">
        <f t="shared" si="28"/>
        <v>1377000</v>
      </c>
      <c r="Q330" s="36"/>
    </row>
    <row r="331" spans="1:17" ht="31.2" x14ac:dyDescent="0.3">
      <c r="A331" s="584"/>
      <c r="B331" s="420" t="s">
        <v>1055</v>
      </c>
      <c r="C331" s="389" t="s">
        <v>1056</v>
      </c>
      <c r="D331" s="406">
        <v>42735</v>
      </c>
      <c r="E331" s="407" t="s">
        <v>1057</v>
      </c>
      <c r="F331" s="407" t="s">
        <v>1026</v>
      </c>
      <c r="G331" s="578"/>
      <c r="H331" s="380">
        <v>400000</v>
      </c>
      <c r="I331" s="380">
        <v>0</v>
      </c>
      <c r="J331" s="593"/>
      <c r="K331" s="421">
        <f t="shared" si="31"/>
        <v>400000</v>
      </c>
      <c r="L331" s="421">
        <v>0</v>
      </c>
      <c r="M331" s="380">
        <f t="shared" si="27"/>
        <v>400000</v>
      </c>
      <c r="N331" s="380">
        <v>-400000</v>
      </c>
      <c r="O331" s="380">
        <v>0</v>
      </c>
      <c r="P331" s="380">
        <f t="shared" si="28"/>
        <v>0</v>
      </c>
      <c r="Q331" s="36"/>
    </row>
    <row r="332" spans="1:17" ht="31.2" x14ac:dyDescent="0.3">
      <c r="A332" s="584"/>
      <c r="B332" s="420" t="s">
        <v>1058</v>
      </c>
      <c r="C332" s="389" t="s">
        <v>1059</v>
      </c>
      <c r="D332" s="406">
        <v>42735</v>
      </c>
      <c r="E332" s="407" t="s">
        <v>1060</v>
      </c>
      <c r="F332" s="407" t="s">
        <v>1026</v>
      </c>
      <c r="G332" s="578"/>
      <c r="H332" s="380">
        <v>53800</v>
      </c>
      <c r="I332" s="380">
        <v>446200</v>
      </c>
      <c r="J332" s="593"/>
      <c r="K332" s="421">
        <f t="shared" si="31"/>
        <v>500000</v>
      </c>
      <c r="L332" s="421">
        <v>0</v>
      </c>
      <c r="M332" s="380">
        <f t="shared" si="27"/>
        <v>500000</v>
      </c>
      <c r="N332" s="380">
        <v>400000</v>
      </c>
      <c r="O332" s="380">
        <v>0</v>
      </c>
      <c r="P332" s="380">
        <f t="shared" si="28"/>
        <v>900000</v>
      </c>
      <c r="Q332" s="36"/>
    </row>
    <row r="333" spans="1:17" ht="31.2" x14ac:dyDescent="0.3">
      <c r="A333" s="584"/>
      <c r="B333" s="420" t="s">
        <v>1061</v>
      </c>
      <c r="C333" s="389" t="s">
        <v>1062</v>
      </c>
      <c r="D333" s="406">
        <v>42522</v>
      </c>
      <c r="E333" s="407" t="s">
        <v>1038</v>
      </c>
      <c r="F333" s="407" t="s">
        <v>1026</v>
      </c>
      <c r="G333" s="578"/>
      <c r="H333" s="380">
        <v>500000</v>
      </c>
      <c r="I333" s="380">
        <v>0</v>
      </c>
      <c r="J333" s="593"/>
      <c r="K333" s="421">
        <f t="shared" si="31"/>
        <v>500000</v>
      </c>
      <c r="L333" s="421">
        <v>210600</v>
      </c>
      <c r="M333" s="380">
        <f t="shared" si="27"/>
        <v>289400</v>
      </c>
      <c r="N333" s="380">
        <v>-289400</v>
      </c>
      <c r="O333" s="380">
        <v>0</v>
      </c>
      <c r="P333" s="380">
        <f t="shared" si="28"/>
        <v>0</v>
      </c>
      <c r="Q333" s="36"/>
    </row>
    <row r="334" spans="1:17" ht="31.2" x14ac:dyDescent="0.3">
      <c r="A334" s="584"/>
      <c r="B334" s="420" t="s">
        <v>1063</v>
      </c>
      <c r="C334" s="389" t="s">
        <v>1064</v>
      </c>
      <c r="D334" s="406">
        <v>42735</v>
      </c>
      <c r="E334" s="407" t="s">
        <v>136</v>
      </c>
      <c r="F334" s="407" t="s">
        <v>1026</v>
      </c>
      <c r="G334" s="578"/>
      <c r="H334" s="380">
        <v>60000</v>
      </c>
      <c r="I334" s="380">
        <v>0</v>
      </c>
      <c r="J334" s="593"/>
      <c r="K334" s="421">
        <f>SUM(H334:I334)</f>
        <v>60000</v>
      </c>
      <c r="L334" s="421">
        <v>0</v>
      </c>
      <c r="M334" s="380">
        <f t="shared" si="27"/>
        <v>60000</v>
      </c>
      <c r="N334" s="380">
        <v>260800</v>
      </c>
      <c r="O334" s="380">
        <v>0</v>
      </c>
      <c r="P334" s="380">
        <f t="shared" si="28"/>
        <v>320800</v>
      </c>
      <c r="Q334" s="36"/>
    </row>
    <row r="335" spans="1:17" ht="46.8" x14ac:dyDescent="0.3">
      <c r="A335" s="584"/>
      <c r="B335" s="420" t="s">
        <v>1065</v>
      </c>
      <c r="C335" s="389" t="s">
        <v>1066</v>
      </c>
      <c r="D335" s="406">
        <v>42675</v>
      </c>
      <c r="E335" s="407" t="s">
        <v>1067</v>
      </c>
      <c r="F335" s="407" t="s">
        <v>1026</v>
      </c>
      <c r="G335" s="578"/>
      <c r="H335" s="380">
        <v>71130</v>
      </c>
      <c r="I335" s="380">
        <v>-71130</v>
      </c>
      <c r="J335" s="595"/>
      <c r="K335" s="421">
        <f>SUM(H335:I335)</f>
        <v>0</v>
      </c>
      <c r="L335" s="421">
        <v>0</v>
      </c>
      <c r="M335" s="380">
        <f t="shared" si="27"/>
        <v>0</v>
      </c>
      <c r="N335" s="380">
        <v>0</v>
      </c>
      <c r="O335" s="380">
        <v>0</v>
      </c>
      <c r="P335" s="380">
        <f t="shared" si="28"/>
        <v>0</v>
      </c>
      <c r="Q335" s="36"/>
    </row>
    <row r="336" spans="1:17" ht="31.8" thickBot="1" x14ac:dyDescent="0.35">
      <c r="A336" s="584"/>
      <c r="B336" s="422" t="s">
        <v>1068</v>
      </c>
      <c r="C336" s="396" t="s">
        <v>1069</v>
      </c>
      <c r="D336" s="424">
        <v>42675</v>
      </c>
      <c r="E336" s="423" t="s">
        <v>1070</v>
      </c>
      <c r="F336" s="423" t="s">
        <v>1026</v>
      </c>
      <c r="G336" s="578"/>
      <c r="H336" s="397">
        <v>-150000</v>
      </c>
      <c r="I336" s="397">
        <v>150000</v>
      </c>
      <c r="J336" s="400">
        <v>5000000</v>
      </c>
      <c r="K336" s="432">
        <f>SUM(H336:J336)</f>
        <v>5000000</v>
      </c>
      <c r="L336" s="432">
        <v>3249100</v>
      </c>
      <c r="M336" s="380">
        <f>K336-L336</f>
        <v>1750900</v>
      </c>
      <c r="N336" s="380">
        <v>787000</v>
      </c>
      <c r="O336" s="380">
        <v>0</v>
      </c>
      <c r="P336" s="380">
        <f t="shared" si="28"/>
        <v>2537900</v>
      </c>
      <c r="Q336" s="36"/>
    </row>
    <row r="337" spans="1:17" ht="63" thickBot="1" x14ac:dyDescent="0.35">
      <c r="A337" s="584"/>
      <c r="B337" s="422" t="s">
        <v>1071</v>
      </c>
      <c r="C337" s="396" t="s">
        <v>1072</v>
      </c>
      <c r="D337" s="424"/>
      <c r="E337" s="423"/>
      <c r="F337" s="423"/>
      <c r="G337" s="579"/>
      <c r="H337" s="398"/>
      <c r="I337" s="398"/>
      <c r="J337" s="398"/>
      <c r="K337" s="428">
        <f>SUM(H337:I337)</f>
        <v>0</v>
      </c>
      <c r="L337" s="380">
        <v>0</v>
      </c>
      <c r="M337" s="380">
        <f t="shared" si="27"/>
        <v>0</v>
      </c>
      <c r="N337" s="380">
        <v>0</v>
      </c>
      <c r="O337" s="380">
        <v>1000000</v>
      </c>
      <c r="P337" s="380">
        <f t="shared" si="28"/>
        <v>1000000</v>
      </c>
      <c r="Q337" s="36"/>
    </row>
    <row r="338" spans="1:17" ht="226.8" thickBot="1" x14ac:dyDescent="0.35">
      <c r="A338" s="436" t="s">
        <v>1073</v>
      </c>
      <c r="B338" s="437" t="s">
        <v>1074</v>
      </c>
      <c r="C338" s="399" t="s">
        <v>1075</v>
      </c>
      <c r="D338" s="439"/>
      <c r="E338" s="438"/>
      <c r="F338" s="438"/>
      <c r="G338" s="438"/>
      <c r="H338" s="400"/>
      <c r="I338" s="400"/>
      <c r="J338" s="400"/>
      <c r="K338" s="440">
        <v>0</v>
      </c>
      <c r="L338" s="380">
        <v>0</v>
      </c>
      <c r="M338" s="380">
        <f t="shared" si="27"/>
        <v>0</v>
      </c>
      <c r="N338" s="380">
        <v>289400</v>
      </c>
      <c r="O338" s="380">
        <v>2000000</v>
      </c>
      <c r="P338" s="380">
        <f t="shared" si="28"/>
        <v>2289400</v>
      </c>
      <c r="Q338" s="36"/>
    </row>
    <row r="339" spans="1:17" ht="31.2" x14ac:dyDescent="0.3">
      <c r="A339" s="574" t="s">
        <v>1076</v>
      </c>
      <c r="B339" s="415" t="s">
        <v>1077</v>
      </c>
      <c r="C339" s="394" t="s">
        <v>1078</v>
      </c>
      <c r="D339" s="406">
        <v>42704</v>
      </c>
      <c r="E339" s="416" t="s">
        <v>1079</v>
      </c>
      <c r="F339" s="416" t="s">
        <v>1080</v>
      </c>
      <c r="G339" s="577" t="s">
        <v>1081</v>
      </c>
      <c r="H339" s="395">
        <v>-1000000</v>
      </c>
      <c r="I339" s="441">
        <v>3000000</v>
      </c>
      <c r="J339" s="580">
        <v>8000000</v>
      </c>
      <c r="K339" s="418">
        <f t="shared" ref="K339:K351" si="32">I339+H339</f>
        <v>2000000</v>
      </c>
      <c r="L339" s="419">
        <v>0</v>
      </c>
      <c r="M339" s="380">
        <f t="shared" si="27"/>
        <v>2000000</v>
      </c>
      <c r="N339" s="380">
        <v>0</v>
      </c>
      <c r="O339" s="380">
        <v>0</v>
      </c>
      <c r="P339" s="380">
        <f t="shared" si="28"/>
        <v>2000000</v>
      </c>
      <c r="Q339" s="36"/>
    </row>
    <row r="340" spans="1:17" ht="31.2" x14ac:dyDescent="0.3">
      <c r="A340" s="575"/>
      <c r="B340" s="420" t="s">
        <v>1082</v>
      </c>
      <c r="C340" s="389" t="s">
        <v>1083</v>
      </c>
      <c r="D340" s="406" t="s">
        <v>331</v>
      </c>
      <c r="E340" s="407" t="s">
        <v>1084</v>
      </c>
      <c r="F340" s="407" t="s">
        <v>1085</v>
      </c>
      <c r="G340" s="578"/>
      <c r="H340" s="380">
        <v>1000000</v>
      </c>
      <c r="I340" s="382">
        <v>0</v>
      </c>
      <c r="J340" s="581"/>
      <c r="K340" s="421">
        <f t="shared" si="32"/>
        <v>1000000</v>
      </c>
      <c r="L340" s="421">
        <v>577200</v>
      </c>
      <c r="M340" s="380">
        <f t="shared" si="27"/>
        <v>422800</v>
      </c>
      <c r="N340" s="380">
        <v>0</v>
      </c>
      <c r="O340" s="380">
        <v>0</v>
      </c>
      <c r="P340" s="380">
        <f t="shared" si="28"/>
        <v>422800</v>
      </c>
      <c r="Q340" s="36"/>
    </row>
    <row r="341" spans="1:17" ht="31.2" x14ac:dyDescent="0.3">
      <c r="A341" s="575"/>
      <c r="B341" s="420" t="s">
        <v>1086</v>
      </c>
      <c r="C341" s="389" t="s">
        <v>1087</v>
      </c>
      <c r="D341" s="406">
        <v>42735</v>
      </c>
      <c r="E341" s="407" t="s">
        <v>1084</v>
      </c>
      <c r="F341" s="407" t="s">
        <v>1085</v>
      </c>
      <c r="G341" s="578"/>
      <c r="H341" s="380">
        <v>5000000</v>
      </c>
      <c r="I341" s="382">
        <v>0</v>
      </c>
      <c r="J341" s="581"/>
      <c r="K341" s="421">
        <f t="shared" si="32"/>
        <v>5000000</v>
      </c>
      <c r="L341" s="421">
        <f>5577200-577200</f>
        <v>5000000</v>
      </c>
      <c r="M341" s="380">
        <f t="shared" si="27"/>
        <v>0</v>
      </c>
      <c r="N341" s="380">
        <v>0</v>
      </c>
      <c r="O341" s="380">
        <v>0</v>
      </c>
      <c r="P341" s="380">
        <f t="shared" si="28"/>
        <v>0</v>
      </c>
      <c r="Q341" s="36"/>
    </row>
    <row r="342" spans="1:17" ht="46.8" x14ac:dyDescent="0.3">
      <c r="A342" s="575"/>
      <c r="B342" s="420" t="s">
        <v>1088</v>
      </c>
      <c r="C342" s="389" t="s">
        <v>1089</v>
      </c>
      <c r="D342" s="406">
        <v>42704</v>
      </c>
      <c r="E342" s="407" t="s">
        <v>1090</v>
      </c>
      <c r="F342" s="407" t="s">
        <v>1085</v>
      </c>
      <c r="G342" s="578"/>
      <c r="H342" s="380">
        <v>5000000</v>
      </c>
      <c r="I342" s="382">
        <v>-991656</v>
      </c>
      <c r="J342" s="581"/>
      <c r="K342" s="421">
        <f t="shared" si="32"/>
        <v>4008344</v>
      </c>
      <c r="L342" s="421">
        <v>0</v>
      </c>
      <c r="M342" s="380">
        <f t="shared" si="27"/>
        <v>4008344</v>
      </c>
      <c r="N342" s="380">
        <v>0</v>
      </c>
      <c r="O342" s="380">
        <v>0</v>
      </c>
      <c r="P342" s="380">
        <f t="shared" si="28"/>
        <v>4008344</v>
      </c>
      <c r="Q342" s="36"/>
    </row>
    <row r="343" spans="1:17" ht="46.8" x14ac:dyDescent="0.3">
      <c r="A343" s="575"/>
      <c r="B343" s="420" t="s">
        <v>1091</v>
      </c>
      <c r="C343" s="389" t="s">
        <v>1092</v>
      </c>
      <c r="D343" s="406">
        <v>42673</v>
      </c>
      <c r="E343" s="407" t="s">
        <v>1093</v>
      </c>
      <c r="F343" s="407" t="s">
        <v>1080</v>
      </c>
      <c r="G343" s="578"/>
      <c r="H343" s="380">
        <v>1500000</v>
      </c>
      <c r="I343" s="380">
        <f>1500000-500000</f>
        <v>1000000</v>
      </c>
      <c r="J343" s="581"/>
      <c r="K343" s="421">
        <f t="shared" si="32"/>
        <v>2500000</v>
      </c>
      <c r="L343" s="421">
        <v>0</v>
      </c>
      <c r="M343" s="380">
        <f t="shared" si="27"/>
        <v>2500000</v>
      </c>
      <c r="N343" s="380">
        <v>0</v>
      </c>
      <c r="O343" s="380">
        <v>0</v>
      </c>
      <c r="P343" s="380">
        <f t="shared" si="28"/>
        <v>2500000</v>
      </c>
      <c r="Q343" s="36"/>
    </row>
    <row r="344" spans="1:17" ht="31.2" x14ac:dyDescent="0.3">
      <c r="A344" s="575"/>
      <c r="B344" s="420" t="s">
        <v>1094</v>
      </c>
      <c r="C344" s="389" t="s">
        <v>1095</v>
      </c>
      <c r="D344" s="406" t="s">
        <v>331</v>
      </c>
      <c r="E344" s="407" t="s">
        <v>936</v>
      </c>
      <c r="F344" s="407" t="s">
        <v>1080</v>
      </c>
      <c r="G344" s="578"/>
      <c r="H344" s="380">
        <v>796000</v>
      </c>
      <c r="I344" s="442">
        <v>204000</v>
      </c>
      <c r="J344" s="581"/>
      <c r="K344" s="421">
        <f t="shared" si="32"/>
        <v>1000000</v>
      </c>
      <c r="L344" s="421">
        <v>0</v>
      </c>
      <c r="M344" s="380">
        <f t="shared" si="27"/>
        <v>1000000</v>
      </c>
      <c r="N344" s="380">
        <v>0</v>
      </c>
      <c r="O344" s="380">
        <v>0</v>
      </c>
      <c r="P344" s="380">
        <f t="shared" si="28"/>
        <v>1000000</v>
      </c>
      <c r="Q344" s="36"/>
    </row>
    <row r="345" spans="1:17" ht="31.2" x14ac:dyDescent="0.3">
      <c r="A345" s="575"/>
      <c r="B345" s="420" t="s">
        <v>1096</v>
      </c>
      <c r="C345" s="389" t="s">
        <v>1097</v>
      </c>
      <c r="D345" s="406">
        <v>42735</v>
      </c>
      <c r="E345" s="407" t="s">
        <v>1098</v>
      </c>
      <c r="F345" s="407" t="s">
        <v>1080</v>
      </c>
      <c r="G345" s="578"/>
      <c r="H345" s="380">
        <v>1000000</v>
      </c>
      <c r="I345" s="380">
        <v>0</v>
      </c>
      <c r="J345" s="581"/>
      <c r="K345" s="421">
        <f t="shared" si="32"/>
        <v>1000000</v>
      </c>
      <c r="L345" s="421">
        <v>1000000</v>
      </c>
      <c r="M345" s="380">
        <f t="shared" si="27"/>
        <v>0</v>
      </c>
      <c r="N345" s="380">
        <v>0</v>
      </c>
      <c r="O345" s="380">
        <v>0</v>
      </c>
      <c r="P345" s="380">
        <f t="shared" si="28"/>
        <v>0</v>
      </c>
      <c r="Q345" s="36"/>
    </row>
    <row r="346" spans="1:17" ht="20.399999999999999" x14ac:dyDescent="0.3">
      <c r="A346" s="575"/>
      <c r="B346" s="420" t="s">
        <v>1099</v>
      </c>
      <c r="C346" s="389" t="s">
        <v>1100</v>
      </c>
      <c r="D346" s="406">
        <v>42674</v>
      </c>
      <c r="E346" s="407" t="s">
        <v>1101</v>
      </c>
      <c r="F346" s="407" t="s">
        <v>1102</v>
      </c>
      <c r="G346" s="578"/>
      <c r="H346" s="380">
        <v>0</v>
      </c>
      <c r="I346" s="380">
        <v>1300000</v>
      </c>
      <c r="J346" s="581"/>
      <c r="K346" s="421">
        <f t="shared" si="32"/>
        <v>1300000</v>
      </c>
      <c r="L346" s="421">
        <v>0</v>
      </c>
      <c r="M346" s="380">
        <f t="shared" ref="M346:M358" si="33">K346-L346</f>
        <v>1300000</v>
      </c>
      <c r="N346" s="380">
        <v>267512</v>
      </c>
      <c r="O346" s="380">
        <v>0</v>
      </c>
      <c r="P346" s="380">
        <f t="shared" ref="P346:P359" si="34">SUM(M346:O346)</f>
        <v>1567512</v>
      </c>
      <c r="Q346" s="36"/>
    </row>
    <row r="347" spans="1:17" ht="31.8" thickBot="1" x14ac:dyDescent="0.35">
      <c r="A347" s="576"/>
      <c r="B347" s="422" t="s">
        <v>1103</v>
      </c>
      <c r="C347" s="396" t="s">
        <v>1104</v>
      </c>
      <c r="D347" s="424">
        <v>42582</v>
      </c>
      <c r="E347" s="423" t="s">
        <v>1105</v>
      </c>
      <c r="F347" s="423" t="s">
        <v>1080</v>
      </c>
      <c r="G347" s="579"/>
      <c r="H347" s="398">
        <v>0</v>
      </c>
      <c r="I347" s="398">
        <v>1200000</v>
      </c>
      <c r="J347" s="582"/>
      <c r="K347" s="428">
        <f t="shared" si="32"/>
        <v>1200000</v>
      </c>
      <c r="L347" s="432">
        <v>0</v>
      </c>
      <c r="M347" s="380">
        <f t="shared" si="33"/>
        <v>1200000</v>
      </c>
      <c r="N347" s="380">
        <v>-267512</v>
      </c>
      <c r="O347" s="380">
        <v>0</v>
      </c>
      <c r="P347" s="380">
        <f t="shared" si="34"/>
        <v>932488</v>
      </c>
      <c r="Q347" s="36"/>
    </row>
    <row r="348" spans="1:17" ht="46.8" x14ac:dyDescent="0.3">
      <c r="A348" s="583" t="s">
        <v>1106</v>
      </c>
      <c r="B348" s="443" t="s">
        <v>1107</v>
      </c>
      <c r="C348" s="394" t="s">
        <v>1108</v>
      </c>
      <c r="D348" s="417">
        <v>42370</v>
      </c>
      <c r="E348" s="416" t="s">
        <v>1109</v>
      </c>
      <c r="F348" s="416" t="s">
        <v>1080</v>
      </c>
      <c r="G348" s="577" t="s">
        <v>1110</v>
      </c>
      <c r="H348" s="401">
        <v>4000000</v>
      </c>
      <c r="I348" s="444">
        <v>4000000</v>
      </c>
      <c r="J348" s="580">
        <v>13000000</v>
      </c>
      <c r="K348" s="418">
        <f t="shared" si="32"/>
        <v>8000000</v>
      </c>
      <c r="L348" s="380">
        <v>3894000</v>
      </c>
      <c r="M348" s="380">
        <f t="shared" si="33"/>
        <v>4106000</v>
      </c>
      <c r="N348" s="380">
        <v>0</v>
      </c>
      <c r="O348" s="380">
        <v>0</v>
      </c>
      <c r="P348" s="380">
        <f t="shared" si="34"/>
        <v>4106000</v>
      </c>
      <c r="Q348" s="36"/>
    </row>
    <row r="349" spans="1:17" ht="78.599999999999994" thickBot="1" x14ac:dyDescent="0.35">
      <c r="A349" s="584"/>
      <c r="B349" s="445" t="s">
        <v>1111</v>
      </c>
      <c r="C349" s="389" t="s">
        <v>1112</v>
      </c>
      <c r="D349" s="406">
        <v>42614</v>
      </c>
      <c r="E349" s="407" t="s">
        <v>1113</v>
      </c>
      <c r="F349" s="407" t="s">
        <v>1080</v>
      </c>
      <c r="G349" s="578"/>
      <c r="H349" s="382">
        <v>1750000</v>
      </c>
      <c r="I349" s="385">
        <v>2250000</v>
      </c>
      <c r="J349" s="581"/>
      <c r="K349" s="421">
        <f t="shared" si="32"/>
        <v>4000000</v>
      </c>
      <c r="L349" s="421">
        <v>1745100</v>
      </c>
      <c r="M349" s="380">
        <f t="shared" si="33"/>
        <v>2254900</v>
      </c>
      <c r="N349" s="380">
        <v>0</v>
      </c>
      <c r="O349" s="380">
        <v>0</v>
      </c>
      <c r="P349" s="380">
        <f t="shared" si="34"/>
        <v>2254900</v>
      </c>
      <c r="Q349" s="36"/>
    </row>
    <row r="350" spans="1:17" ht="62.4" x14ac:dyDescent="0.3">
      <c r="A350" s="584"/>
      <c r="B350" s="443" t="s">
        <v>1114</v>
      </c>
      <c r="C350" s="389" t="s">
        <v>1115</v>
      </c>
      <c r="D350" s="406">
        <v>42583</v>
      </c>
      <c r="E350" s="407" t="s">
        <v>1116</v>
      </c>
      <c r="F350" s="407" t="s">
        <v>1117</v>
      </c>
      <c r="G350" s="578"/>
      <c r="H350" s="402">
        <v>333800</v>
      </c>
      <c r="I350" s="402">
        <f>6958000-2000000</f>
        <v>4958000</v>
      </c>
      <c r="J350" s="581"/>
      <c r="K350" s="421">
        <f t="shared" si="32"/>
        <v>5291800</v>
      </c>
      <c r="L350" s="421">
        <v>0</v>
      </c>
      <c r="M350" s="380">
        <f t="shared" si="33"/>
        <v>5291800</v>
      </c>
      <c r="N350" s="380">
        <v>0</v>
      </c>
      <c r="O350" s="380">
        <v>0</v>
      </c>
      <c r="P350" s="380">
        <f t="shared" si="34"/>
        <v>5291800</v>
      </c>
      <c r="Q350" s="36"/>
    </row>
    <row r="351" spans="1:17" ht="47.4" thickBot="1" x14ac:dyDescent="0.35">
      <c r="A351" s="584"/>
      <c r="B351" s="445" t="s">
        <v>1118</v>
      </c>
      <c r="C351" s="389" t="s">
        <v>1119</v>
      </c>
      <c r="D351" s="406">
        <v>42401</v>
      </c>
      <c r="E351" s="407" t="s">
        <v>1120</v>
      </c>
      <c r="F351" s="407" t="s">
        <v>1121</v>
      </c>
      <c r="G351" s="578"/>
      <c r="H351" s="442">
        <v>0</v>
      </c>
      <c r="I351" s="442">
        <v>1500000</v>
      </c>
      <c r="J351" s="581"/>
      <c r="K351" s="421">
        <f t="shared" si="32"/>
        <v>1500000</v>
      </c>
      <c r="L351" s="421">
        <v>850000</v>
      </c>
      <c r="M351" s="380">
        <f t="shared" si="33"/>
        <v>650000</v>
      </c>
      <c r="N351" s="380">
        <v>0</v>
      </c>
      <c r="O351" s="380">
        <v>0</v>
      </c>
      <c r="P351" s="380">
        <f t="shared" si="34"/>
        <v>650000</v>
      </c>
      <c r="Q351" s="36"/>
    </row>
    <row r="352" spans="1:17" ht="46.8" x14ac:dyDescent="0.3">
      <c r="A352" s="584"/>
      <c r="B352" s="443" t="s">
        <v>1122</v>
      </c>
      <c r="C352" s="389" t="s">
        <v>1123</v>
      </c>
      <c r="D352" s="406">
        <v>42370</v>
      </c>
      <c r="E352" s="407" t="s">
        <v>1120</v>
      </c>
      <c r="F352" s="407" t="s">
        <v>1121</v>
      </c>
      <c r="G352" s="578"/>
      <c r="H352" s="442">
        <v>2000000</v>
      </c>
      <c r="I352" s="442">
        <f>1000000-1000000</f>
        <v>0</v>
      </c>
      <c r="J352" s="581"/>
      <c r="K352" s="421">
        <f>I352+H352</f>
        <v>2000000</v>
      </c>
      <c r="L352" s="421">
        <v>0</v>
      </c>
      <c r="M352" s="380">
        <f t="shared" si="33"/>
        <v>2000000</v>
      </c>
      <c r="N352" s="380">
        <v>0</v>
      </c>
      <c r="O352" s="380">
        <v>0</v>
      </c>
      <c r="P352" s="380">
        <f t="shared" si="34"/>
        <v>2000000</v>
      </c>
      <c r="Q352" s="36"/>
    </row>
    <row r="353" spans="1:17" ht="47.4" thickBot="1" x14ac:dyDescent="0.35">
      <c r="A353" s="584"/>
      <c r="B353" s="445" t="s">
        <v>1124</v>
      </c>
      <c r="C353" s="389" t="s">
        <v>1125</v>
      </c>
      <c r="D353" s="406">
        <v>42370</v>
      </c>
      <c r="E353" s="407" t="s">
        <v>1120</v>
      </c>
      <c r="F353" s="407" t="s">
        <v>1121</v>
      </c>
      <c r="G353" s="578"/>
      <c r="H353" s="442">
        <v>158000</v>
      </c>
      <c r="I353" s="442">
        <v>0</v>
      </c>
      <c r="J353" s="581"/>
      <c r="K353" s="421">
        <f>I353+H353</f>
        <v>158000</v>
      </c>
      <c r="L353" s="421">
        <v>130000</v>
      </c>
      <c r="M353" s="380">
        <f t="shared" si="33"/>
        <v>28000</v>
      </c>
      <c r="N353" s="380">
        <v>0</v>
      </c>
      <c r="O353" s="380">
        <v>0</v>
      </c>
      <c r="P353" s="380">
        <f t="shared" si="34"/>
        <v>28000</v>
      </c>
      <c r="Q353" s="36"/>
    </row>
    <row r="354" spans="1:17" ht="20.399999999999999" x14ac:dyDescent="0.3">
      <c r="A354" s="584"/>
      <c r="B354" s="443" t="s">
        <v>1126</v>
      </c>
      <c r="C354" s="389" t="s">
        <v>1127</v>
      </c>
      <c r="D354" s="406">
        <v>42522</v>
      </c>
      <c r="E354" s="407" t="s">
        <v>1128</v>
      </c>
      <c r="F354" s="407" t="s">
        <v>1129</v>
      </c>
      <c r="G354" s="578"/>
      <c r="H354" s="442">
        <v>250000</v>
      </c>
      <c r="I354" s="442">
        <v>0</v>
      </c>
      <c r="J354" s="581"/>
      <c r="K354" s="421">
        <f>I354+H354</f>
        <v>250000</v>
      </c>
      <c r="L354" s="421">
        <v>0</v>
      </c>
      <c r="M354" s="380">
        <f t="shared" si="33"/>
        <v>250000</v>
      </c>
      <c r="N354" s="380">
        <v>0</v>
      </c>
      <c r="O354" s="380">
        <v>0</v>
      </c>
      <c r="P354" s="380">
        <f t="shared" si="34"/>
        <v>250000</v>
      </c>
      <c r="Q354" s="36"/>
    </row>
    <row r="355" spans="1:17" ht="63" thickBot="1" x14ac:dyDescent="0.35">
      <c r="A355" s="584"/>
      <c r="B355" s="445" t="s">
        <v>1130</v>
      </c>
      <c r="C355" s="389" t="s">
        <v>1131</v>
      </c>
      <c r="D355" s="586"/>
      <c r="E355" s="588" t="s">
        <v>1132</v>
      </c>
      <c r="F355" s="407" t="s">
        <v>1133</v>
      </c>
      <c r="G355" s="578"/>
      <c r="H355" s="380">
        <v>-150000</v>
      </c>
      <c r="I355" s="380">
        <v>150000</v>
      </c>
      <c r="J355" s="581"/>
      <c r="K355" s="421">
        <v>0</v>
      </c>
      <c r="L355" s="421">
        <v>0</v>
      </c>
      <c r="M355" s="380">
        <f t="shared" si="33"/>
        <v>0</v>
      </c>
      <c r="N355" s="380">
        <v>0</v>
      </c>
      <c r="O355" s="380">
        <v>0</v>
      </c>
      <c r="P355" s="380">
        <f t="shared" si="34"/>
        <v>0</v>
      </c>
      <c r="Q355" s="36"/>
    </row>
    <row r="356" spans="1:17" ht="46.8" x14ac:dyDescent="0.3">
      <c r="A356" s="584"/>
      <c r="B356" s="443" t="s">
        <v>1134</v>
      </c>
      <c r="C356" s="403" t="s">
        <v>1135</v>
      </c>
      <c r="D356" s="587"/>
      <c r="E356" s="578"/>
      <c r="F356" s="446" t="s">
        <v>1136</v>
      </c>
      <c r="G356" s="578"/>
      <c r="H356" s="404">
        <v>500000</v>
      </c>
      <c r="I356" s="447">
        <v>-500000</v>
      </c>
      <c r="J356" s="581"/>
      <c r="K356" s="421">
        <v>0</v>
      </c>
      <c r="L356" s="421">
        <v>0</v>
      </c>
      <c r="M356" s="380">
        <f t="shared" si="33"/>
        <v>0</v>
      </c>
      <c r="N356" s="380">
        <v>0</v>
      </c>
      <c r="O356" s="380">
        <v>0</v>
      </c>
      <c r="P356" s="380">
        <f t="shared" si="34"/>
        <v>0</v>
      </c>
      <c r="Q356" s="36"/>
    </row>
    <row r="357" spans="1:17" ht="63" thickBot="1" x14ac:dyDescent="0.35">
      <c r="A357" s="584"/>
      <c r="B357" s="445" t="s">
        <v>1137</v>
      </c>
      <c r="C357" s="405" t="s">
        <v>1138</v>
      </c>
      <c r="D357" s="587"/>
      <c r="E357" s="578"/>
      <c r="F357" s="448" t="s">
        <v>1129</v>
      </c>
      <c r="G357" s="578"/>
      <c r="H357" s="449">
        <v>2450000</v>
      </c>
      <c r="I357" s="450">
        <v>0</v>
      </c>
      <c r="J357" s="581"/>
      <c r="K357" s="432">
        <v>0</v>
      </c>
      <c r="L357" s="432">
        <v>0</v>
      </c>
      <c r="M357" s="380">
        <f t="shared" si="33"/>
        <v>0</v>
      </c>
      <c r="N357" s="380">
        <v>0</v>
      </c>
      <c r="O357" s="380">
        <v>0</v>
      </c>
      <c r="P357" s="380">
        <f t="shared" si="34"/>
        <v>0</v>
      </c>
      <c r="Q357" s="36"/>
    </row>
    <row r="358" spans="1:17" ht="21" thickBot="1" x14ac:dyDescent="0.35">
      <c r="A358" s="585"/>
      <c r="B358" s="451" t="s">
        <v>1139</v>
      </c>
      <c r="C358" s="405" t="s">
        <v>1140</v>
      </c>
      <c r="D358" s="439"/>
      <c r="E358" s="425"/>
      <c r="F358" s="425"/>
      <c r="G358" s="425"/>
      <c r="H358" s="450">
        <f>-1280000+180000</f>
        <v>-1100000</v>
      </c>
      <c r="I358" s="450">
        <v>0</v>
      </c>
      <c r="J358" s="450"/>
      <c r="K358" s="432">
        <v>0</v>
      </c>
      <c r="L358" s="432">
        <v>0</v>
      </c>
      <c r="M358" s="380">
        <f t="shared" si="33"/>
        <v>0</v>
      </c>
      <c r="N358" s="380">
        <v>0</v>
      </c>
      <c r="O358" s="380">
        <v>0</v>
      </c>
      <c r="P358" s="380">
        <f t="shared" si="34"/>
        <v>0</v>
      </c>
      <c r="Q358" s="36"/>
    </row>
    <row r="359" spans="1:17" ht="31.8" x14ac:dyDescent="0.3">
      <c r="A359" s="563" t="s">
        <v>1141</v>
      </c>
      <c r="B359" s="564"/>
      <c r="C359" s="564"/>
      <c r="D359" s="564"/>
      <c r="E359" s="564"/>
      <c r="F359" s="564"/>
      <c r="G359" s="565"/>
      <c r="H359" s="452">
        <f>SUM(H279:H358)</f>
        <v>59294226</v>
      </c>
      <c r="I359" s="452">
        <f>SUM(I279:I358)</f>
        <v>60750000</v>
      </c>
      <c r="J359" s="384">
        <f>SUM(J279:J354)</f>
        <v>68000000</v>
      </c>
      <c r="K359" s="384">
        <f>SUM(K279:K358)</f>
        <v>141594226</v>
      </c>
      <c r="L359" s="384">
        <f>SUM(L279:L358)</f>
        <v>70213351</v>
      </c>
      <c r="M359" s="384">
        <f>SUM(M279:M358)</f>
        <v>71380875</v>
      </c>
      <c r="N359" s="386">
        <f>SUM(N279:N358)</f>
        <v>0</v>
      </c>
      <c r="O359" s="383">
        <f>SUM(O279:O358)</f>
        <v>175000000</v>
      </c>
      <c r="P359" s="383">
        <f t="shared" si="34"/>
        <v>246380875</v>
      </c>
      <c r="Q359"/>
    </row>
    <row r="360" spans="1:17" ht="30" x14ac:dyDescent="0.4">
      <c r="A360" s="571" t="s">
        <v>1150</v>
      </c>
      <c r="B360" s="572"/>
      <c r="C360" s="573"/>
      <c r="D360" s="353"/>
      <c r="E360" s="354"/>
      <c r="F360" s="354"/>
      <c r="G360" s="354"/>
      <c r="H360" s="355"/>
      <c r="I360" s="356"/>
      <c r="J360" s="356"/>
      <c r="K360" s="189">
        <f>K92+K148+K215+K276+K359</f>
        <v>1233068347</v>
      </c>
      <c r="L360" s="189">
        <f>L92+L148+L215+L276+L359</f>
        <v>440402179</v>
      </c>
      <c r="M360" s="387">
        <f>M92+M148+M215+M276+M359</f>
        <v>792666168</v>
      </c>
      <c r="N360" s="387">
        <f t="shared" ref="N360:P360" si="35">N92+N148+N215+N276+N359</f>
        <v>0</v>
      </c>
      <c r="O360" s="387">
        <f t="shared" si="35"/>
        <v>515400000</v>
      </c>
      <c r="P360" s="387">
        <f t="shared" si="35"/>
        <v>1308066168</v>
      </c>
      <c r="Q360" s="42"/>
    </row>
    <row r="361" spans="1:17" ht="21" x14ac:dyDescent="0.4">
      <c r="A361" s="38"/>
      <c r="B361" s="39"/>
      <c r="C361" s="38"/>
      <c r="D361" s="40"/>
      <c r="E361" s="39"/>
      <c r="F361" s="39"/>
      <c r="G361" s="39"/>
      <c r="H361" s="43"/>
      <c r="I361" s="41"/>
      <c r="J361" s="41"/>
      <c r="K361" s="44"/>
      <c r="L361" s="45"/>
      <c r="M361" s="46"/>
      <c r="N361" s="45"/>
      <c r="O361" s="47"/>
      <c r="P361" s="46"/>
      <c r="Q361" s="42"/>
    </row>
    <row r="362" spans="1:17" ht="45.6" x14ac:dyDescent="0.3">
      <c r="A362" s="38"/>
      <c r="B362" s="566" t="s">
        <v>1142</v>
      </c>
      <c r="C362" s="567"/>
      <c r="D362" s="567"/>
      <c r="E362" s="567"/>
      <c r="F362" s="567"/>
      <c r="G362" s="567"/>
      <c r="H362" s="567"/>
      <c r="I362" s="567"/>
      <c r="J362" s="567"/>
      <c r="K362" s="567"/>
      <c r="L362" s="567"/>
      <c r="M362" s="567"/>
      <c r="N362" s="568"/>
      <c r="O362" s="388">
        <f>O92+O148+O215+O276+O359</f>
        <v>515400000</v>
      </c>
      <c r="P362" s="190"/>
      <c r="Q362"/>
    </row>
    <row r="363" spans="1:17" ht="33.6" x14ac:dyDescent="0.65">
      <c r="A363" s="38"/>
      <c r="B363" s="39"/>
      <c r="C363" s="38"/>
      <c r="D363" s="40"/>
      <c r="E363" s="39"/>
      <c r="F363" s="39"/>
      <c r="G363" s="39"/>
      <c r="H363" s="48"/>
      <c r="I363" s="49"/>
      <c r="J363" s="41"/>
      <c r="K363" s="44"/>
      <c r="L363" s="45"/>
      <c r="M363" s="46"/>
      <c r="N363" s="45"/>
      <c r="O363" s="47"/>
      <c r="P363" s="46"/>
      <c r="Q363"/>
    </row>
    <row r="364" spans="1:17" ht="18" x14ac:dyDescent="0.35">
      <c r="A364" s="50"/>
      <c r="C364" s="466"/>
      <c r="L364" s="52"/>
      <c r="M364" s="53"/>
      <c r="N364" s="52"/>
      <c r="O364" s="54"/>
      <c r="P364" s="53"/>
      <c r="Q364"/>
    </row>
    <row r="365" spans="1:17" ht="46.2" x14ac:dyDescent="0.35">
      <c r="A365" s="50"/>
      <c r="C365" s="467"/>
      <c r="D365" s="267"/>
      <c r="E365" s="267"/>
      <c r="F365" s="267"/>
      <c r="G365" s="267"/>
      <c r="H365" s="267"/>
      <c r="I365" s="267"/>
      <c r="J365" s="267"/>
      <c r="K365" s="566" t="s">
        <v>1143</v>
      </c>
      <c r="L365" s="568"/>
      <c r="M365" s="569">
        <f>M360+O360</f>
        <v>1308066168</v>
      </c>
      <c r="N365" s="570"/>
      <c r="O365" s="191"/>
      <c r="P365" s="53"/>
      <c r="Q365"/>
    </row>
    <row r="366" spans="1:17" ht="18" x14ac:dyDescent="0.35">
      <c r="A366" s="50"/>
      <c r="C366" s="466"/>
      <c r="L366" s="52"/>
      <c r="M366" s="53"/>
      <c r="N366" s="52"/>
      <c r="O366" s="54"/>
      <c r="P366" s="53"/>
      <c r="Q366"/>
    </row>
    <row r="367" spans="1:17" ht="28.8" x14ac:dyDescent="0.35">
      <c r="A367" s="55"/>
      <c r="B367" s="56"/>
      <c r="C367" s="56"/>
      <c r="D367" s="57"/>
      <c r="E367" s="58"/>
      <c r="F367" s="59"/>
      <c r="G367" s="60"/>
      <c r="H367" s="61"/>
      <c r="I367" s="62"/>
      <c r="J367" s="63"/>
      <c r="K367" s="64"/>
      <c r="L367" s="65"/>
      <c r="M367" s="192"/>
      <c r="N367" s="65"/>
      <c r="O367" s="266"/>
      <c r="P367" s="192"/>
      <c r="Q367" s="26"/>
    </row>
    <row r="368" spans="1:17" ht="18" x14ac:dyDescent="0.35">
      <c r="C368" s="466"/>
      <c r="M368" s="67"/>
      <c r="N368" s="66"/>
      <c r="O368" s="68"/>
      <c r="P368" s="67"/>
      <c r="Q368"/>
    </row>
    <row r="369" spans="1:19" ht="18" x14ac:dyDescent="0.35">
      <c r="C369" s="466"/>
      <c r="M369" s="67"/>
      <c r="N369" s="66"/>
      <c r="O369" s="68"/>
      <c r="P369" s="67"/>
      <c r="Q369"/>
    </row>
    <row r="370" spans="1:19" ht="18" x14ac:dyDescent="0.35">
      <c r="C370" s="466"/>
      <c r="M370" s="67"/>
      <c r="N370" s="66"/>
      <c r="O370" s="68"/>
      <c r="P370" s="67"/>
      <c r="Q370"/>
    </row>
    <row r="371" spans="1:19" ht="18" x14ac:dyDescent="0.35">
      <c r="C371" s="466"/>
      <c r="M371" s="67"/>
      <c r="N371" s="66"/>
      <c r="O371" s="68"/>
      <c r="P371" s="67"/>
      <c r="Q371"/>
    </row>
    <row r="372" spans="1:19" s="67" customFormat="1" ht="18" x14ac:dyDescent="0.35">
      <c r="A372" s="1"/>
      <c r="B372"/>
      <c r="C372" s="1"/>
      <c r="D372"/>
      <c r="E372"/>
      <c r="F372"/>
      <c r="G372"/>
      <c r="H372" s="51"/>
      <c r="I372" s="51"/>
      <c r="J372" s="51"/>
      <c r="K372"/>
      <c r="L372" s="66"/>
      <c r="N372" s="66"/>
      <c r="O372" s="68"/>
      <c r="Q372" s="2"/>
      <c r="R372"/>
      <c r="S372"/>
    </row>
    <row r="373" spans="1:19" s="67" customFormat="1" ht="18" x14ac:dyDescent="0.35">
      <c r="A373" s="1"/>
      <c r="B373"/>
      <c r="C373" s="1"/>
      <c r="D373"/>
      <c r="E373"/>
      <c r="F373"/>
      <c r="G373"/>
      <c r="H373" s="51"/>
      <c r="I373" s="51"/>
      <c r="J373" s="51"/>
      <c r="K373"/>
      <c r="L373" s="66"/>
      <c r="N373" s="66"/>
      <c r="O373" s="68"/>
      <c r="Q373" s="2"/>
      <c r="R373"/>
      <c r="S373"/>
    </row>
    <row r="374" spans="1:19" s="67" customFormat="1" ht="18" x14ac:dyDescent="0.35">
      <c r="A374" s="1"/>
      <c r="B374"/>
      <c r="C374" s="1"/>
      <c r="D374"/>
      <c r="E374"/>
      <c r="F374"/>
      <c r="G374"/>
      <c r="H374" s="51"/>
      <c r="I374" s="51"/>
      <c r="J374" s="51"/>
      <c r="K374"/>
      <c r="L374" s="66"/>
      <c r="N374" s="66"/>
      <c r="O374" s="68"/>
      <c r="Q374" s="2"/>
      <c r="R374"/>
      <c r="S374"/>
    </row>
    <row r="375" spans="1:19" s="67" customFormat="1" ht="18" x14ac:dyDescent="0.35">
      <c r="A375" s="1"/>
      <c r="B375"/>
      <c r="C375" s="1"/>
      <c r="D375"/>
      <c r="E375"/>
      <c r="F375"/>
      <c r="G375"/>
      <c r="H375" s="51"/>
      <c r="I375" s="51"/>
      <c r="J375" s="51"/>
      <c r="K375"/>
      <c r="L375" s="66"/>
      <c r="N375" s="66"/>
      <c r="O375" s="68"/>
      <c r="Q375" s="2"/>
      <c r="R375"/>
      <c r="S375"/>
    </row>
    <row r="376" spans="1:19" s="67" customFormat="1" ht="18" x14ac:dyDescent="0.35">
      <c r="A376" s="1"/>
      <c r="B376"/>
      <c r="C376" s="1"/>
      <c r="D376"/>
      <c r="E376"/>
      <c r="F376"/>
      <c r="G376"/>
      <c r="H376" s="51"/>
      <c r="I376" s="51"/>
      <c r="J376" s="51"/>
      <c r="K376"/>
      <c r="L376" s="66"/>
      <c r="N376" s="66"/>
      <c r="O376" s="68"/>
      <c r="Q376" s="2"/>
      <c r="R376"/>
      <c r="S376"/>
    </row>
    <row r="377" spans="1:19" s="67" customFormat="1" ht="18" x14ac:dyDescent="0.35">
      <c r="A377" s="1"/>
      <c r="B377"/>
      <c r="C377" s="1"/>
      <c r="D377"/>
      <c r="E377"/>
      <c r="F377"/>
      <c r="G377"/>
      <c r="H377" s="51"/>
      <c r="I377" s="51"/>
      <c r="J377" s="51"/>
      <c r="K377"/>
      <c r="L377" s="66"/>
      <c r="N377" s="66"/>
      <c r="O377" s="68"/>
      <c r="Q377" s="2"/>
      <c r="R377"/>
      <c r="S377"/>
    </row>
    <row r="378" spans="1:19" s="67" customFormat="1" ht="18" x14ac:dyDescent="0.35">
      <c r="A378" s="1"/>
      <c r="B378"/>
      <c r="C378" s="1"/>
      <c r="D378"/>
      <c r="E378"/>
      <c r="F378"/>
      <c r="G378"/>
      <c r="H378" s="51"/>
      <c r="I378" s="51"/>
      <c r="J378" s="51"/>
      <c r="K378"/>
      <c r="L378" s="66"/>
      <c r="N378" s="66"/>
      <c r="O378" s="68"/>
      <c r="Q378" s="2"/>
      <c r="R378"/>
      <c r="S378"/>
    </row>
    <row r="379" spans="1:19" s="67" customFormat="1" ht="18" x14ac:dyDescent="0.35">
      <c r="A379" s="1"/>
      <c r="B379"/>
      <c r="C379" s="1"/>
      <c r="D379"/>
      <c r="E379"/>
      <c r="F379"/>
      <c r="G379"/>
      <c r="H379" s="51"/>
      <c r="I379" s="51"/>
      <c r="J379" s="51"/>
      <c r="K379"/>
      <c r="L379" s="66"/>
      <c r="N379" s="66"/>
      <c r="O379" s="68"/>
      <c r="Q379" s="2"/>
      <c r="R379"/>
      <c r="S379"/>
    </row>
    <row r="380" spans="1:19" s="67" customFormat="1" ht="18" x14ac:dyDescent="0.35">
      <c r="A380" s="1"/>
      <c r="B380"/>
      <c r="C380" s="1"/>
      <c r="D380"/>
      <c r="E380"/>
      <c r="F380"/>
      <c r="G380"/>
      <c r="H380" s="51"/>
      <c r="I380" s="51"/>
      <c r="J380" s="51"/>
      <c r="K380"/>
      <c r="L380" s="66"/>
      <c r="N380" s="66"/>
      <c r="O380" s="68"/>
      <c r="Q380" s="2"/>
      <c r="R380"/>
      <c r="S380"/>
    </row>
    <row r="381" spans="1:19" s="67" customFormat="1" ht="18" x14ac:dyDescent="0.35">
      <c r="A381" s="1"/>
      <c r="B381"/>
      <c r="C381" s="1"/>
      <c r="D381"/>
      <c r="E381"/>
      <c r="F381"/>
      <c r="G381"/>
      <c r="H381" s="51"/>
      <c r="I381" s="51"/>
      <c r="J381" s="51"/>
      <c r="K381"/>
      <c r="L381" s="66"/>
      <c r="N381" s="66"/>
      <c r="O381" s="68"/>
      <c r="Q381" s="2"/>
      <c r="R381"/>
      <c r="S381"/>
    </row>
    <row r="382" spans="1:19" s="67" customFormat="1" ht="18" x14ac:dyDescent="0.35">
      <c r="A382" s="1"/>
      <c r="B382"/>
      <c r="C382" s="1"/>
      <c r="D382"/>
      <c r="E382"/>
      <c r="F382"/>
      <c r="G382"/>
      <c r="H382" s="51"/>
      <c r="I382" s="51"/>
      <c r="J382" s="51"/>
      <c r="K382"/>
      <c r="L382" s="66"/>
      <c r="N382" s="66"/>
      <c r="O382" s="68"/>
      <c r="Q382" s="2"/>
      <c r="R382"/>
      <c r="S382"/>
    </row>
    <row r="383" spans="1:19" s="67" customFormat="1" ht="18" x14ac:dyDescent="0.35">
      <c r="A383" s="1"/>
      <c r="B383"/>
      <c r="C383" s="1"/>
      <c r="D383"/>
      <c r="E383"/>
      <c r="F383"/>
      <c r="G383"/>
      <c r="H383" s="51"/>
      <c r="I383" s="51"/>
      <c r="J383" s="51"/>
      <c r="K383"/>
      <c r="L383" s="66"/>
      <c r="N383" s="66"/>
      <c r="O383" s="68"/>
      <c r="Q383" s="2"/>
      <c r="R383"/>
      <c r="S383"/>
    </row>
    <row r="384" spans="1:19" s="67" customFormat="1" ht="18" x14ac:dyDescent="0.35">
      <c r="A384" s="1"/>
      <c r="B384"/>
      <c r="C384" s="1"/>
      <c r="D384"/>
      <c r="E384"/>
      <c r="F384"/>
      <c r="G384"/>
      <c r="H384" s="51"/>
      <c r="I384" s="51"/>
      <c r="J384" s="51"/>
      <c r="K384"/>
      <c r="L384" s="66"/>
      <c r="N384" s="66"/>
      <c r="O384" s="68"/>
      <c r="Q384" s="2"/>
      <c r="R384"/>
      <c r="S384"/>
    </row>
    <row r="385" spans="1:19" s="67" customFormat="1" ht="18" x14ac:dyDescent="0.35">
      <c r="A385" s="1"/>
      <c r="B385"/>
      <c r="C385" s="1"/>
      <c r="D385"/>
      <c r="E385"/>
      <c r="F385"/>
      <c r="G385"/>
      <c r="H385" s="51"/>
      <c r="I385" s="51"/>
      <c r="J385" s="51"/>
      <c r="K385"/>
      <c r="L385" s="66"/>
      <c r="N385" s="66"/>
      <c r="O385" s="68"/>
      <c r="Q385" s="2"/>
      <c r="R385"/>
      <c r="S385"/>
    </row>
    <row r="386" spans="1:19" s="67" customFormat="1" ht="18" x14ac:dyDescent="0.35">
      <c r="A386" s="1"/>
      <c r="B386"/>
      <c r="C386" s="1"/>
      <c r="D386"/>
      <c r="E386"/>
      <c r="F386"/>
      <c r="G386"/>
      <c r="H386" s="51"/>
      <c r="I386" s="51"/>
      <c r="J386" s="51"/>
      <c r="K386"/>
      <c r="L386" s="66"/>
      <c r="N386" s="66"/>
      <c r="O386" s="68"/>
      <c r="Q386" s="2"/>
      <c r="R386"/>
      <c r="S386"/>
    </row>
    <row r="387" spans="1:19" s="67" customFormat="1" ht="18" x14ac:dyDescent="0.35">
      <c r="A387" s="1"/>
      <c r="B387"/>
      <c r="C387" s="1"/>
      <c r="D387"/>
      <c r="E387"/>
      <c r="F387"/>
      <c r="G387"/>
      <c r="H387" s="51"/>
      <c r="I387" s="51"/>
      <c r="J387" s="51"/>
      <c r="K387"/>
      <c r="L387" s="66"/>
      <c r="N387" s="66"/>
      <c r="O387" s="68"/>
      <c r="Q387" s="2"/>
      <c r="R387"/>
      <c r="S387"/>
    </row>
    <row r="388" spans="1:19" s="67" customFormat="1" ht="18" x14ac:dyDescent="0.35">
      <c r="A388" s="1"/>
      <c r="B388"/>
      <c r="C388" s="1"/>
      <c r="D388"/>
      <c r="E388"/>
      <c r="F388"/>
      <c r="G388"/>
      <c r="H388" s="51"/>
      <c r="I388" s="51"/>
      <c r="J388" s="51"/>
      <c r="K388"/>
      <c r="L388" s="66"/>
      <c r="N388" s="66"/>
      <c r="O388" s="68"/>
      <c r="Q388" s="2"/>
      <c r="R388"/>
      <c r="S388"/>
    </row>
    <row r="389" spans="1:19" s="67" customFormat="1" ht="18" x14ac:dyDescent="0.35">
      <c r="A389" s="1"/>
      <c r="B389"/>
      <c r="C389" s="1"/>
      <c r="D389"/>
      <c r="E389"/>
      <c r="F389"/>
      <c r="G389"/>
      <c r="H389" s="51"/>
      <c r="I389" s="51"/>
      <c r="J389" s="51"/>
      <c r="K389"/>
      <c r="L389" s="66"/>
      <c r="N389" s="66"/>
      <c r="O389" s="68"/>
      <c r="Q389" s="2"/>
      <c r="R389"/>
      <c r="S389"/>
    </row>
    <row r="390" spans="1:19" s="67" customFormat="1" ht="18" x14ac:dyDescent="0.35">
      <c r="A390" s="1"/>
      <c r="B390"/>
      <c r="C390" s="1"/>
      <c r="D390"/>
      <c r="E390"/>
      <c r="F390"/>
      <c r="G390"/>
      <c r="H390" s="51"/>
      <c r="I390" s="51"/>
      <c r="J390" s="51"/>
      <c r="K390"/>
      <c r="L390" s="66"/>
      <c r="N390" s="66"/>
      <c r="O390" s="68"/>
      <c r="Q390" s="2"/>
      <c r="R390"/>
      <c r="S390"/>
    </row>
    <row r="391" spans="1:19" s="67" customFormat="1" ht="18" x14ac:dyDescent="0.35">
      <c r="A391" s="1"/>
      <c r="B391"/>
      <c r="C391" s="1"/>
      <c r="D391"/>
      <c r="E391"/>
      <c r="F391"/>
      <c r="G391"/>
      <c r="H391" s="51"/>
      <c r="I391" s="51"/>
      <c r="J391" s="51"/>
      <c r="K391"/>
      <c r="L391" s="66"/>
      <c r="N391" s="66"/>
      <c r="O391" s="68"/>
      <c r="Q391" s="2"/>
      <c r="R391"/>
      <c r="S391"/>
    </row>
    <row r="392" spans="1:19" s="67" customFormat="1" ht="18" x14ac:dyDescent="0.35">
      <c r="A392" s="1"/>
      <c r="B392"/>
      <c r="C392" s="1"/>
      <c r="D392"/>
      <c r="E392"/>
      <c r="F392"/>
      <c r="G392"/>
      <c r="H392" s="51"/>
      <c r="I392" s="51"/>
      <c r="J392" s="51"/>
      <c r="K392"/>
      <c r="L392" s="66"/>
      <c r="N392" s="66"/>
      <c r="O392" s="68"/>
      <c r="Q392" s="2"/>
      <c r="R392"/>
      <c r="S392"/>
    </row>
    <row r="393" spans="1:19" s="67" customFormat="1" ht="18" x14ac:dyDescent="0.35">
      <c r="A393" s="1"/>
      <c r="B393"/>
      <c r="C393" s="1"/>
      <c r="D393"/>
      <c r="E393"/>
      <c r="F393"/>
      <c r="G393"/>
      <c r="H393" s="51"/>
      <c r="I393" s="51"/>
      <c r="J393" s="51"/>
      <c r="K393"/>
      <c r="L393" s="66"/>
      <c r="N393" s="66"/>
      <c r="O393" s="68"/>
      <c r="Q393" s="2"/>
      <c r="R393"/>
      <c r="S393"/>
    </row>
    <row r="394" spans="1:19" s="67" customFormat="1" ht="18" x14ac:dyDescent="0.35">
      <c r="A394" s="1"/>
      <c r="B394"/>
      <c r="C394" s="1"/>
      <c r="D394"/>
      <c r="E394"/>
      <c r="F394"/>
      <c r="G394"/>
      <c r="H394" s="51"/>
      <c r="I394" s="51"/>
      <c r="J394" s="51"/>
      <c r="K394"/>
      <c r="L394" s="66"/>
      <c r="N394" s="66"/>
      <c r="O394" s="68"/>
      <c r="Q394" s="2"/>
      <c r="R394"/>
      <c r="S394"/>
    </row>
    <row r="395" spans="1:19" s="67" customFormat="1" ht="18" x14ac:dyDescent="0.35">
      <c r="A395" s="1"/>
      <c r="B395"/>
      <c r="C395" s="1"/>
      <c r="D395"/>
      <c r="E395"/>
      <c r="F395"/>
      <c r="G395"/>
      <c r="H395" s="51"/>
      <c r="I395" s="51"/>
      <c r="J395" s="51"/>
      <c r="K395"/>
      <c r="L395" s="66"/>
      <c r="N395" s="66"/>
      <c r="O395" s="68"/>
      <c r="Q395" s="2"/>
      <c r="R395"/>
      <c r="S395"/>
    </row>
    <row r="396" spans="1:19" s="67" customFormat="1" ht="18" x14ac:dyDescent="0.35">
      <c r="A396" s="1"/>
      <c r="B396"/>
      <c r="C396" s="1"/>
      <c r="D396"/>
      <c r="E396"/>
      <c r="F396"/>
      <c r="G396"/>
      <c r="H396" s="51"/>
      <c r="I396" s="51"/>
      <c r="J396" s="51"/>
      <c r="K396"/>
      <c r="L396" s="66"/>
      <c r="N396" s="66"/>
      <c r="O396" s="68"/>
      <c r="Q396" s="2"/>
      <c r="R396"/>
      <c r="S396"/>
    </row>
    <row r="397" spans="1:19" s="67" customFormat="1" ht="18" x14ac:dyDescent="0.35">
      <c r="A397" s="1"/>
      <c r="B397"/>
      <c r="C397" s="1"/>
      <c r="D397"/>
      <c r="E397"/>
      <c r="F397"/>
      <c r="G397"/>
      <c r="H397" s="51"/>
      <c r="I397" s="51"/>
      <c r="J397" s="51"/>
      <c r="K397"/>
      <c r="L397" s="66"/>
      <c r="N397" s="66"/>
      <c r="O397" s="68"/>
      <c r="Q397" s="2"/>
      <c r="R397"/>
      <c r="S397"/>
    </row>
    <row r="398" spans="1:19" s="67" customFormat="1" ht="18" x14ac:dyDescent="0.35">
      <c r="A398" s="1"/>
      <c r="B398"/>
      <c r="C398" s="1"/>
      <c r="D398"/>
      <c r="E398"/>
      <c r="F398"/>
      <c r="G398"/>
      <c r="H398" s="51"/>
      <c r="I398" s="51"/>
      <c r="J398" s="51"/>
      <c r="K398"/>
      <c r="L398" s="66"/>
      <c r="N398" s="66"/>
      <c r="O398" s="68"/>
      <c r="Q398" s="2"/>
      <c r="R398"/>
      <c r="S398"/>
    </row>
    <row r="399" spans="1:19" s="67" customFormat="1" ht="18" x14ac:dyDescent="0.35">
      <c r="A399" s="1"/>
      <c r="B399"/>
      <c r="C399" s="1"/>
      <c r="D399"/>
      <c r="E399"/>
      <c r="F399"/>
      <c r="G399"/>
      <c r="H399" s="51"/>
      <c r="I399" s="51"/>
      <c r="J399" s="51"/>
      <c r="K399"/>
      <c r="L399" s="66"/>
      <c r="N399" s="66"/>
      <c r="O399" s="68"/>
      <c r="Q399" s="2"/>
      <c r="R399"/>
      <c r="S399"/>
    </row>
    <row r="400" spans="1:19" s="67" customFormat="1" ht="18" x14ac:dyDescent="0.35">
      <c r="A400" s="1"/>
      <c r="B400"/>
      <c r="C400" s="1"/>
      <c r="D400"/>
      <c r="E400"/>
      <c r="F400"/>
      <c r="G400"/>
      <c r="H400" s="51"/>
      <c r="I400" s="51"/>
      <c r="J400" s="51"/>
      <c r="K400"/>
      <c r="L400" s="66"/>
      <c r="N400" s="66"/>
      <c r="O400" s="68"/>
      <c r="Q400" s="2"/>
      <c r="R400"/>
      <c r="S400"/>
    </row>
    <row r="401" spans="1:19" s="67" customFormat="1" ht="18" x14ac:dyDescent="0.35">
      <c r="A401" s="1"/>
      <c r="B401"/>
      <c r="C401" s="1"/>
      <c r="D401"/>
      <c r="E401"/>
      <c r="F401"/>
      <c r="G401"/>
      <c r="H401" s="51"/>
      <c r="I401" s="51"/>
      <c r="J401" s="51"/>
      <c r="K401"/>
      <c r="L401" s="66"/>
      <c r="N401" s="66"/>
      <c r="O401" s="68"/>
      <c r="Q401" s="2"/>
      <c r="R401"/>
      <c r="S401"/>
    </row>
    <row r="402" spans="1:19" s="67" customFormat="1" ht="18" x14ac:dyDescent="0.35">
      <c r="A402" s="1"/>
      <c r="B402"/>
      <c r="C402" s="1"/>
      <c r="D402"/>
      <c r="E402"/>
      <c r="F402"/>
      <c r="G402"/>
      <c r="H402" s="51"/>
      <c r="I402" s="51"/>
      <c r="J402" s="51"/>
      <c r="K402"/>
      <c r="L402" s="66"/>
      <c r="N402" s="66"/>
      <c r="O402" s="68"/>
      <c r="Q402" s="2"/>
      <c r="R402"/>
      <c r="S402"/>
    </row>
    <row r="403" spans="1:19" s="67" customFormat="1" ht="18" x14ac:dyDescent="0.35">
      <c r="A403" s="1"/>
      <c r="B403"/>
      <c r="C403" s="1"/>
      <c r="D403"/>
      <c r="E403"/>
      <c r="F403"/>
      <c r="G403"/>
      <c r="H403" s="51"/>
      <c r="I403" s="51"/>
      <c r="J403" s="51"/>
      <c r="K403"/>
      <c r="L403" s="66"/>
      <c r="N403" s="66"/>
      <c r="O403" s="68"/>
      <c r="Q403" s="2"/>
      <c r="R403"/>
      <c r="S403"/>
    </row>
    <row r="404" spans="1:19" s="67" customFormat="1" ht="18" x14ac:dyDescent="0.35">
      <c r="A404" s="1"/>
      <c r="B404"/>
      <c r="C404" s="1"/>
      <c r="D404"/>
      <c r="E404"/>
      <c r="F404"/>
      <c r="G404"/>
      <c r="H404" s="51"/>
      <c r="I404" s="51"/>
      <c r="J404" s="51"/>
      <c r="K404"/>
      <c r="L404" s="66"/>
      <c r="N404" s="66"/>
      <c r="O404" s="68"/>
      <c r="Q404" s="2"/>
      <c r="R404"/>
      <c r="S404"/>
    </row>
    <row r="405" spans="1:19" s="67" customFormat="1" ht="18" x14ac:dyDescent="0.35">
      <c r="A405" s="1"/>
      <c r="B405"/>
      <c r="C405" s="1"/>
      <c r="D405"/>
      <c r="E405"/>
      <c r="F405"/>
      <c r="G405"/>
      <c r="H405" s="51"/>
      <c r="I405" s="51"/>
      <c r="J405" s="51"/>
      <c r="K405"/>
      <c r="L405" s="66"/>
      <c r="N405" s="66"/>
      <c r="O405" s="68"/>
      <c r="Q405" s="2"/>
      <c r="R405"/>
      <c r="S405"/>
    </row>
    <row r="406" spans="1:19" s="67" customFormat="1" ht="18" x14ac:dyDescent="0.35">
      <c r="A406" s="1"/>
      <c r="B406"/>
      <c r="C406" s="1"/>
      <c r="D406"/>
      <c r="E406"/>
      <c r="F406"/>
      <c r="G406"/>
      <c r="H406" s="51"/>
      <c r="I406" s="51"/>
      <c r="J406" s="51"/>
      <c r="K406"/>
      <c r="L406" s="66"/>
      <c r="N406" s="66"/>
      <c r="O406" s="68"/>
      <c r="Q406" s="2"/>
      <c r="R406"/>
      <c r="S406"/>
    </row>
    <row r="407" spans="1:19" s="67" customFormat="1" ht="18" x14ac:dyDescent="0.35">
      <c r="A407" s="1"/>
      <c r="B407"/>
      <c r="C407" s="1"/>
      <c r="D407"/>
      <c r="E407"/>
      <c r="F407"/>
      <c r="G407"/>
      <c r="H407" s="51"/>
      <c r="I407" s="51"/>
      <c r="J407" s="51"/>
      <c r="K407"/>
      <c r="L407" s="66"/>
      <c r="N407" s="66"/>
      <c r="O407" s="68"/>
      <c r="Q407" s="2"/>
      <c r="R407"/>
      <c r="S407"/>
    </row>
    <row r="408" spans="1:19" s="67" customFormat="1" ht="18" x14ac:dyDescent="0.35">
      <c r="A408" s="1"/>
      <c r="B408"/>
      <c r="C408" s="1"/>
      <c r="D408"/>
      <c r="E408"/>
      <c r="F408"/>
      <c r="G408"/>
      <c r="H408" s="51"/>
      <c r="I408" s="51"/>
      <c r="J408" s="51"/>
      <c r="K408"/>
      <c r="L408" s="66"/>
      <c r="N408" s="66"/>
      <c r="O408" s="68"/>
      <c r="Q408" s="2"/>
      <c r="R408"/>
      <c r="S408"/>
    </row>
    <row r="409" spans="1:19" s="67" customFormat="1" ht="18" x14ac:dyDescent="0.35">
      <c r="A409" s="1"/>
      <c r="B409"/>
      <c r="C409" s="1"/>
      <c r="D409"/>
      <c r="E409"/>
      <c r="F409"/>
      <c r="G409"/>
      <c r="H409" s="51"/>
      <c r="I409" s="51"/>
      <c r="J409" s="51"/>
      <c r="K409"/>
      <c r="L409" s="66"/>
      <c r="N409" s="66"/>
      <c r="O409" s="68"/>
      <c r="Q409" s="2"/>
      <c r="R409"/>
      <c r="S409"/>
    </row>
    <row r="410" spans="1:19" s="67" customFormat="1" ht="18" x14ac:dyDescent="0.35">
      <c r="A410" s="1"/>
      <c r="B410"/>
      <c r="C410" s="1"/>
      <c r="D410"/>
      <c r="E410"/>
      <c r="F410"/>
      <c r="G410"/>
      <c r="H410" s="51"/>
      <c r="I410" s="51"/>
      <c r="J410" s="51"/>
      <c r="K410"/>
      <c r="L410" s="66"/>
      <c r="N410" s="66"/>
      <c r="O410" s="68"/>
      <c r="Q410" s="2"/>
      <c r="R410"/>
      <c r="S410"/>
    </row>
    <row r="411" spans="1:19" s="67" customFormat="1" ht="18" x14ac:dyDescent="0.35">
      <c r="A411" s="1"/>
      <c r="B411"/>
      <c r="C411" s="1"/>
      <c r="D411"/>
      <c r="E411"/>
      <c r="F411"/>
      <c r="G411"/>
      <c r="H411" s="51"/>
      <c r="I411" s="51"/>
      <c r="J411" s="51"/>
      <c r="K411"/>
      <c r="L411" s="66"/>
      <c r="N411" s="66"/>
      <c r="O411" s="68"/>
      <c r="Q411" s="2"/>
      <c r="R411"/>
      <c r="S411"/>
    </row>
    <row r="412" spans="1:19" s="67" customFormat="1" ht="18" x14ac:dyDescent="0.35">
      <c r="A412" s="1"/>
      <c r="B412"/>
      <c r="C412" s="1"/>
      <c r="D412"/>
      <c r="E412"/>
      <c r="F412"/>
      <c r="G412"/>
      <c r="H412" s="51"/>
      <c r="I412" s="51"/>
      <c r="J412" s="51"/>
      <c r="K412"/>
      <c r="L412" s="66"/>
      <c r="N412" s="66"/>
      <c r="O412" s="68"/>
      <c r="Q412" s="2"/>
      <c r="R412"/>
      <c r="S412"/>
    </row>
    <row r="413" spans="1:19" s="67" customFormat="1" ht="18" x14ac:dyDescent="0.35">
      <c r="A413" s="1"/>
      <c r="B413"/>
      <c r="C413" s="1"/>
      <c r="D413"/>
      <c r="E413"/>
      <c r="F413"/>
      <c r="G413"/>
      <c r="H413" s="51"/>
      <c r="I413" s="51"/>
      <c r="J413" s="51"/>
      <c r="K413"/>
      <c r="L413" s="66"/>
      <c r="N413" s="66"/>
      <c r="O413" s="68"/>
      <c r="Q413" s="2"/>
      <c r="R413"/>
      <c r="S413"/>
    </row>
    <row r="414" spans="1:19" s="67" customFormat="1" ht="18" x14ac:dyDescent="0.35">
      <c r="A414" s="1"/>
      <c r="B414"/>
      <c r="C414" s="1"/>
      <c r="D414"/>
      <c r="E414"/>
      <c r="F414"/>
      <c r="G414"/>
      <c r="H414" s="51"/>
      <c r="I414" s="51"/>
      <c r="J414" s="51"/>
      <c r="K414"/>
      <c r="L414" s="66"/>
      <c r="N414" s="66"/>
      <c r="O414" s="68"/>
      <c r="Q414" s="2"/>
      <c r="R414"/>
      <c r="S414"/>
    </row>
    <row r="415" spans="1:19" s="67" customFormat="1" ht="18" x14ac:dyDescent="0.35">
      <c r="A415" s="1"/>
      <c r="B415"/>
      <c r="C415" s="1"/>
      <c r="D415"/>
      <c r="E415"/>
      <c r="F415"/>
      <c r="G415"/>
      <c r="H415" s="51"/>
      <c r="I415" s="51"/>
      <c r="J415" s="51"/>
      <c r="K415"/>
      <c r="L415" s="66"/>
      <c r="N415" s="66"/>
      <c r="O415" s="68"/>
      <c r="Q415" s="2"/>
      <c r="R415"/>
      <c r="S415"/>
    </row>
    <row r="416" spans="1:19" s="67" customFormat="1" ht="18" x14ac:dyDescent="0.35">
      <c r="A416" s="1"/>
      <c r="B416"/>
      <c r="C416" s="1"/>
      <c r="D416"/>
      <c r="E416"/>
      <c r="F416"/>
      <c r="G416"/>
      <c r="H416" s="51"/>
      <c r="I416" s="51"/>
      <c r="J416" s="51"/>
      <c r="K416"/>
      <c r="L416" s="66"/>
      <c r="N416" s="66"/>
      <c r="O416" s="68"/>
      <c r="Q416" s="2"/>
      <c r="R416"/>
      <c r="S416"/>
    </row>
    <row r="417" spans="1:19" s="67" customFormat="1" ht="18" x14ac:dyDescent="0.35">
      <c r="A417" s="1"/>
      <c r="B417"/>
      <c r="C417" s="1"/>
      <c r="D417"/>
      <c r="E417"/>
      <c r="F417"/>
      <c r="G417"/>
      <c r="H417" s="51"/>
      <c r="I417" s="51"/>
      <c r="J417" s="51"/>
      <c r="K417"/>
      <c r="L417" s="66"/>
      <c r="N417" s="66"/>
      <c r="O417" s="68"/>
      <c r="Q417" s="2"/>
      <c r="R417"/>
      <c r="S417"/>
    </row>
    <row r="418" spans="1:19" s="67" customFormat="1" ht="18" x14ac:dyDescent="0.35">
      <c r="A418" s="1"/>
      <c r="B418"/>
      <c r="C418" s="1"/>
      <c r="D418"/>
      <c r="E418"/>
      <c r="F418"/>
      <c r="G418"/>
      <c r="H418" s="51"/>
      <c r="I418" s="51"/>
      <c r="J418" s="51"/>
      <c r="K418"/>
      <c r="L418" s="66"/>
      <c r="N418" s="66"/>
      <c r="O418" s="68"/>
      <c r="Q418" s="2"/>
      <c r="R418"/>
      <c r="S418"/>
    </row>
    <row r="419" spans="1:19" s="67" customFormat="1" ht="18" x14ac:dyDescent="0.35">
      <c r="A419" s="1"/>
      <c r="B419"/>
      <c r="C419" s="1"/>
      <c r="D419"/>
      <c r="E419"/>
      <c r="F419"/>
      <c r="G419"/>
      <c r="H419" s="51"/>
      <c r="I419" s="51"/>
      <c r="J419" s="51"/>
      <c r="K419"/>
      <c r="L419" s="66"/>
      <c r="N419" s="66"/>
      <c r="O419" s="68"/>
      <c r="Q419" s="2"/>
      <c r="R419"/>
      <c r="S419"/>
    </row>
    <row r="420" spans="1:19" s="67" customFormat="1" ht="18" x14ac:dyDescent="0.35">
      <c r="A420" s="1"/>
      <c r="B420"/>
      <c r="C420" s="1"/>
      <c r="D420"/>
      <c r="E420"/>
      <c r="F420"/>
      <c r="G420"/>
      <c r="H420" s="51"/>
      <c r="I420" s="51"/>
      <c r="J420" s="51"/>
      <c r="K420"/>
      <c r="L420" s="66"/>
      <c r="N420" s="66"/>
      <c r="O420" s="68"/>
      <c r="Q420" s="2"/>
      <c r="R420"/>
      <c r="S420"/>
    </row>
    <row r="421" spans="1:19" s="67" customFormat="1" ht="18" x14ac:dyDescent="0.35">
      <c r="A421" s="1"/>
      <c r="B421"/>
      <c r="C421" s="1"/>
      <c r="D421"/>
      <c r="E421"/>
      <c r="F421"/>
      <c r="G421"/>
      <c r="H421" s="51"/>
      <c r="I421" s="51"/>
      <c r="J421" s="51"/>
      <c r="K421"/>
      <c r="L421" s="66"/>
      <c r="N421" s="66"/>
      <c r="O421" s="68"/>
      <c r="Q421" s="2"/>
      <c r="R421"/>
      <c r="S421"/>
    </row>
    <row r="422" spans="1:19" s="67" customFormat="1" ht="18" x14ac:dyDescent="0.35">
      <c r="A422" s="1"/>
      <c r="B422"/>
      <c r="C422" s="1"/>
      <c r="D422"/>
      <c r="E422"/>
      <c r="F422"/>
      <c r="G422"/>
      <c r="H422" s="51"/>
      <c r="I422" s="51"/>
      <c r="J422" s="51"/>
      <c r="K422"/>
      <c r="L422" s="66"/>
      <c r="N422" s="66"/>
      <c r="O422" s="68"/>
      <c r="Q422" s="2"/>
      <c r="R422"/>
      <c r="S422"/>
    </row>
    <row r="423" spans="1:19" s="67" customFormat="1" ht="18" x14ac:dyDescent="0.35">
      <c r="A423" s="1"/>
      <c r="B423"/>
      <c r="C423" s="1"/>
      <c r="D423"/>
      <c r="E423"/>
      <c r="F423"/>
      <c r="G423"/>
      <c r="H423" s="51"/>
      <c r="I423" s="51"/>
      <c r="J423" s="51"/>
      <c r="K423"/>
      <c r="L423" s="66"/>
      <c r="N423" s="66"/>
      <c r="O423" s="68"/>
      <c r="Q423" s="2"/>
      <c r="R423"/>
      <c r="S423"/>
    </row>
    <row r="424" spans="1:19" s="67" customFormat="1" ht="18" x14ac:dyDescent="0.35">
      <c r="A424" s="1"/>
      <c r="B424"/>
      <c r="C424" s="1"/>
      <c r="D424"/>
      <c r="E424"/>
      <c r="F424"/>
      <c r="G424"/>
      <c r="H424" s="51"/>
      <c r="I424" s="51"/>
      <c r="J424" s="51"/>
      <c r="K424"/>
      <c r="L424" s="66"/>
      <c r="N424" s="66"/>
      <c r="O424" s="68"/>
      <c r="Q424" s="2"/>
      <c r="R424"/>
      <c r="S424"/>
    </row>
    <row r="425" spans="1:19" s="67" customFormat="1" ht="18" x14ac:dyDescent="0.35">
      <c r="A425" s="1"/>
      <c r="B425"/>
      <c r="C425" s="1"/>
      <c r="D425"/>
      <c r="E425"/>
      <c r="F425"/>
      <c r="G425"/>
      <c r="H425" s="51"/>
      <c r="I425" s="51"/>
      <c r="J425" s="51"/>
      <c r="K425"/>
      <c r="L425" s="66"/>
      <c r="N425" s="66"/>
      <c r="O425" s="68"/>
      <c r="Q425" s="2"/>
      <c r="R425"/>
      <c r="S425"/>
    </row>
    <row r="426" spans="1:19" s="67" customFormat="1" ht="18" x14ac:dyDescent="0.35">
      <c r="A426" s="1"/>
      <c r="B426"/>
      <c r="C426" s="1"/>
      <c r="D426"/>
      <c r="E426"/>
      <c r="F426"/>
      <c r="G426"/>
      <c r="H426" s="51"/>
      <c r="I426" s="51"/>
      <c r="J426" s="51"/>
      <c r="K426"/>
      <c r="L426" s="66"/>
      <c r="N426" s="66"/>
      <c r="O426" s="68"/>
      <c r="Q426" s="2"/>
      <c r="R426"/>
      <c r="S426"/>
    </row>
    <row r="427" spans="1:19" s="67" customFormat="1" ht="18" x14ac:dyDescent="0.35">
      <c r="A427" s="1"/>
      <c r="B427"/>
      <c r="C427" s="1"/>
      <c r="D427"/>
      <c r="E427"/>
      <c r="F427"/>
      <c r="G427"/>
      <c r="H427" s="51"/>
      <c r="I427" s="51"/>
      <c r="J427" s="51"/>
      <c r="K427"/>
      <c r="L427" s="66"/>
      <c r="N427" s="66"/>
      <c r="O427" s="68"/>
      <c r="Q427" s="2"/>
      <c r="R427"/>
      <c r="S427"/>
    </row>
    <row r="428" spans="1:19" s="67" customFormat="1" ht="18" x14ac:dyDescent="0.35">
      <c r="A428" s="1"/>
      <c r="B428"/>
      <c r="C428" s="1"/>
      <c r="D428"/>
      <c r="E428"/>
      <c r="F428"/>
      <c r="G428"/>
      <c r="H428" s="51"/>
      <c r="I428" s="51"/>
      <c r="J428" s="51"/>
      <c r="K428"/>
      <c r="L428" s="66"/>
      <c r="N428" s="66"/>
      <c r="O428" s="68"/>
      <c r="Q428" s="2"/>
      <c r="R428"/>
      <c r="S428"/>
    </row>
    <row r="429" spans="1:19" s="67" customFormat="1" ht="18" x14ac:dyDescent="0.35">
      <c r="A429" s="1"/>
      <c r="B429"/>
      <c r="C429" s="1"/>
      <c r="D429"/>
      <c r="E429"/>
      <c r="F429"/>
      <c r="G429"/>
      <c r="H429" s="51"/>
      <c r="I429" s="51"/>
      <c r="J429" s="51"/>
      <c r="K429"/>
      <c r="L429" s="66"/>
      <c r="N429" s="66"/>
      <c r="O429" s="68"/>
      <c r="Q429" s="2"/>
      <c r="R429"/>
      <c r="S429"/>
    </row>
    <row r="430" spans="1:19" s="67" customFormat="1" ht="18" x14ac:dyDescent="0.35">
      <c r="A430" s="1"/>
      <c r="B430"/>
      <c r="C430" s="1"/>
      <c r="D430"/>
      <c r="E430"/>
      <c r="F430"/>
      <c r="G430"/>
      <c r="H430" s="51"/>
      <c r="I430" s="51"/>
      <c r="J430" s="51"/>
      <c r="K430"/>
      <c r="L430" s="66"/>
      <c r="N430" s="66"/>
      <c r="O430" s="68"/>
      <c r="Q430" s="2"/>
      <c r="R430"/>
      <c r="S430"/>
    </row>
    <row r="431" spans="1:19" s="67" customFormat="1" ht="18" x14ac:dyDescent="0.35">
      <c r="A431" s="1"/>
      <c r="B431"/>
      <c r="C431" s="1"/>
      <c r="D431"/>
      <c r="E431"/>
      <c r="F431"/>
      <c r="G431"/>
      <c r="H431" s="51"/>
      <c r="I431" s="51"/>
      <c r="J431" s="51"/>
      <c r="K431"/>
      <c r="L431" s="66"/>
      <c r="N431" s="66"/>
      <c r="O431" s="68"/>
      <c r="Q431" s="2"/>
      <c r="R431"/>
      <c r="S431"/>
    </row>
    <row r="432" spans="1:19" s="67" customFormat="1" ht="18" x14ac:dyDescent="0.35">
      <c r="A432" s="1"/>
      <c r="B432"/>
      <c r="C432" s="1"/>
      <c r="D432"/>
      <c r="E432"/>
      <c r="F432"/>
      <c r="G432"/>
      <c r="H432" s="51"/>
      <c r="I432" s="51"/>
      <c r="J432" s="51"/>
      <c r="K432"/>
      <c r="L432" s="66"/>
      <c r="N432" s="66"/>
      <c r="O432" s="68"/>
      <c r="Q432" s="2"/>
      <c r="R432"/>
      <c r="S432"/>
    </row>
    <row r="433" spans="1:19" s="67" customFormat="1" ht="18" x14ac:dyDescent="0.35">
      <c r="A433" s="1"/>
      <c r="B433"/>
      <c r="C433" s="1"/>
      <c r="D433"/>
      <c r="E433"/>
      <c r="F433"/>
      <c r="G433"/>
      <c r="H433" s="51"/>
      <c r="I433" s="51"/>
      <c r="J433" s="51"/>
      <c r="K433"/>
      <c r="L433" s="66"/>
      <c r="N433" s="66"/>
      <c r="O433" s="68"/>
      <c r="Q433" s="2"/>
      <c r="R433"/>
      <c r="S433"/>
    </row>
    <row r="434" spans="1:19" s="67" customFormat="1" ht="18" x14ac:dyDescent="0.35">
      <c r="A434" s="1"/>
      <c r="B434"/>
      <c r="C434" s="1"/>
      <c r="D434"/>
      <c r="E434"/>
      <c r="F434"/>
      <c r="G434"/>
      <c r="H434" s="51"/>
      <c r="I434" s="51"/>
      <c r="J434" s="51"/>
      <c r="K434"/>
      <c r="L434" s="66"/>
      <c r="N434" s="66"/>
      <c r="O434" s="68"/>
      <c r="Q434" s="2"/>
      <c r="R434"/>
      <c r="S434"/>
    </row>
    <row r="435" spans="1:19" s="67" customFormat="1" ht="18" x14ac:dyDescent="0.35">
      <c r="A435" s="1"/>
      <c r="B435"/>
      <c r="C435" s="1"/>
      <c r="D435"/>
      <c r="E435"/>
      <c r="F435"/>
      <c r="G435"/>
      <c r="H435" s="51"/>
      <c r="I435" s="51"/>
      <c r="J435" s="51"/>
      <c r="K435"/>
      <c r="L435" s="66"/>
      <c r="N435" s="66"/>
      <c r="O435" s="68"/>
      <c r="Q435" s="2"/>
      <c r="R435"/>
      <c r="S435"/>
    </row>
    <row r="436" spans="1:19" s="67" customFormat="1" ht="18" x14ac:dyDescent="0.35">
      <c r="A436" s="1"/>
      <c r="B436"/>
      <c r="C436" s="1"/>
      <c r="D436"/>
      <c r="E436"/>
      <c r="F436"/>
      <c r="G436"/>
      <c r="H436" s="51"/>
      <c r="I436" s="51"/>
      <c r="J436" s="51"/>
      <c r="K436"/>
      <c r="L436" s="66"/>
      <c r="N436" s="66"/>
      <c r="O436" s="68"/>
      <c r="Q436" s="2"/>
      <c r="R436"/>
      <c r="S436"/>
    </row>
    <row r="437" spans="1:19" s="67" customFormat="1" ht="18" x14ac:dyDescent="0.35">
      <c r="A437" s="1"/>
      <c r="B437"/>
      <c r="C437" s="1"/>
      <c r="D437"/>
      <c r="E437"/>
      <c r="F437"/>
      <c r="G437"/>
      <c r="H437" s="51"/>
      <c r="I437" s="51"/>
      <c r="J437" s="51"/>
      <c r="K437"/>
      <c r="L437" s="66"/>
      <c r="N437" s="66"/>
      <c r="O437" s="68"/>
      <c r="Q437" s="2"/>
      <c r="R437"/>
      <c r="S437"/>
    </row>
    <row r="438" spans="1:19" s="67" customFormat="1" ht="18" x14ac:dyDescent="0.35">
      <c r="A438" s="1"/>
      <c r="B438"/>
      <c r="C438" s="1"/>
      <c r="D438"/>
      <c r="E438"/>
      <c r="F438"/>
      <c r="G438"/>
      <c r="H438" s="51"/>
      <c r="I438" s="51"/>
      <c r="J438" s="51"/>
      <c r="K438"/>
      <c r="L438" s="66"/>
      <c r="N438" s="66"/>
      <c r="O438" s="68"/>
      <c r="Q438" s="2"/>
      <c r="R438"/>
      <c r="S438"/>
    </row>
    <row r="439" spans="1:19" s="67" customFormat="1" ht="18" x14ac:dyDescent="0.35">
      <c r="A439" s="1"/>
      <c r="B439"/>
      <c r="C439" s="1"/>
      <c r="D439"/>
      <c r="E439"/>
      <c r="F439"/>
      <c r="G439"/>
      <c r="H439" s="51"/>
      <c r="I439" s="51"/>
      <c r="J439" s="51"/>
      <c r="K439"/>
      <c r="L439" s="66"/>
      <c r="N439" s="66"/>
      <c r="O439" s="68"/>
      <c r="Q439" s="2"/>
      <c r="R439"/>
      <c r="S439"/>
    </row>
    <row r="440" spans="1:19" s="67" customFormat="1" ht="18" x14ac:dyDescent="0.35">
      <c r="A440" s="1"/>
      <c r="B440"/>
      <c r="C440" s="1"/>
      <c r="D440"/>
      <c r="E440"/>
      <c r="F440"/>
      <c r="G440"/>
      <c r="H440" s="51"/>
      <c r="I440" s="51"/>
      <c r="J440" s="51"/>
      <c r="K440"/>
      <c r="L440" s="66"/>
      <c r="N440" s="66"/>
      <c r="O440" s="68"/>
      <c r="Q440" s="2"/>
      <c r="R440"/>
      <c r="S440"/>
    </row>
    <row r="441" spans="1:19" s="67" customFormat="1" ht="18" x14ac:dyDescent="0.35">
      <c r="A441" s="1"/>
      <c r="B441"/>
      <c r="C441" s="1"/>
      <c r="D441"/>
      <c r="E441"/>
      <c r="F441"/>
      <c r="G441"/>
      <c r="H441" s="51"/>
      <c r="I441" s="51"/>
      <c r="J441" s="51"/>
      <c r="K441"/>
      <c r="L441" s="66"/>
      <c r="N441" s="66"/>
      <c r="O441" s="68"/>
      <c r="Q441" s="2"/>
      <c r="R441"/>
      <c r="S441"/>
    </row>
    <row r="442" spans="1:19" s="67" customFormat="1" ht="18" x14ac:dyDescent="0.35">
      <c r="A442" s="1"/>
      <c r="B442"/>
      <c r="C442" s="1"/>
      <c r="D442"/>
      <c r="E442"/>
      <c r="F442"/>
      <c r="G442"/>
      <c r="H442" s="51"/>
      <c r="I442" s="51"/>
      <c r="J442" s="51"/>
      <c r="K442"/>
      <c r="L442" s="66"/>
      <c r="N442" s="66"/>
      <c r="O442" s="68"/>
      <c r="Q442" s="2"/>
      <c r="R442"/>
      <c r="S442"/>
    </row>
    <row r="443" spans="1:19" s="67" customFormat="1" ht="18" x14ac:dyDescent="0.35">
      <c r="A443" s="1"/>
      <c r="B443"/>
      <c r="C443" s="1"/>
      <c r="D443"/>
      <c r="E443"/>
      <c r="F443"/>
      <c r="G443"/>
      <c r="H443" s="51"/>
      <c r="I443" s="51"/>
      <c r="J443" s="51"/>
      <c r="K443"/>
      <c r="L443" s="66"/>
      <c r="N443" s="66"/>
      <c r="O443" s="68"/>
      <c r="Q443" s="2"/>
      <c r="R443"/>
      <c r="S443"/>
    </row>
    <row r="444" spans="1:19" s="67" customFormat="1" ht="18" x14ac:dyDescent="0.35">
      <c r="A444" s="1"/>
      <c r="B444"/>
      <c r="C444" s="1"/>
      <c r="D444"/>
      <c r="E444"/>
      <c r="F444"/>
      <c r="G444"/>
      <c r="H444" s="51"/>
      <c r="I444" s="51"/>
      <c r="J444" s="51"/>
      <c r="K444"/>
      <c r="L444" s="66"/>
      <c r="N444" s="66"/>
      <c r="O444" s="68"/>
      <c r="Q444" s="2"/>
      <c r="R444"/>
      <c r="S444"/>
    </row>
    <row r="445" spans="1:19" s="67" customFormat="1" ht="18" x14ac:dyDescent="0.35">
      <c r="A445" s="1"/>
      <c r="B445"/>
      <c r="C445" s="1"/>
      <c r="D445"/>
      <c r="E445"/>
      <c r="F445"/>
      <c r="G445"/>
      <c r="H445" s="51"/>
      <c r="I445" s="51"/>
      <c r="J445" s="51"/>
      <c r="K445"/>
      <c r="L445" s="66"/>
      <c r="N445" s="66"/>
      <c r="O445" s="68"/>
      <c r="Q445" s="2"/>
      <c r="R445"/>
      <c r="S445"/>
    </row>
    <row r="446" spans="1:19" s="67" customFormat="1" ht="18" x14ac:dyDescent="0.35">
      <c r="A446" s="1"/>
      <c r="B446"/>
      <c r="C446" s="1"/>
      <c r="D446"/>
      <c r="E446"/>
      <c r="F446"/>
      <c r="G446"/>
      <c r="H446" s="51"/>
      <c r="I446" s="51"/>
      <c r="J446" s="51"/>
      <c r="K446"/>
      <c r="L446" s="66"/>
      <c r="N446" s="66"/>
      <c r="O446" s="68"/>
      <c r="Q446" s="2"/>
      <c r="R446"/>
      <c r="S446"/>
    </row>
    <row r="447" spans="1:19" s="67" customFormat="1" ht="18" x14ac:dyDescent="0.35">
      <c r="A447" s="1"/>
      <c r="B447"/>
      <c r="C447" s="1"/>
      <c r="D447"/>
      <c r="E447"/>
      <c r="F447"/>
      <c r="G447"/>
      <c r="H447" s="51"/>
      <c r="I447" s="51"/>
      <c r="J447" s="51"/>
      <c r="K447"/>
      <c r="L447" s="66"/>
      <c r="N447" s="66"/>
      <c r="O447" s="68"/>
      <c r="Q447" s="2"/>
      <c r="R447"/>
      <c r="S447"/>
    </row>
    <row r="448" spans="1:19" s="67" customFormat="1" ht="18" x14ac:dyDescent="0.35">
      <c r="A448" s="1"/>
      <c r="B448"/>
      <c r="C448" s="1"/>
      <c r="D448"/>
      <c r="E448"/>
      <c r="F448"/>
      <c r="G448"/>
      <c r="H448" s="51"/>
      <c r="I448" s="51"/>
      <c r="J448" s="51"/>
      <c r="K448"/>
      <c r="L448" s="66"/>
      <c r="N448" s="66"/>
      <c r="O448" s="68"/>
      <c r="Q448" s="2"/>
      <c r="R448"/>
      <c r="S448"/>
    </row>
    <row r="449" spans="1:19" s="67" customFormat="1" ht="18" x14ac:dyDescent="0.35">
      <c r="A449" s="1"/>
      <c r="B449"/>
      <c r="C449" s="1"/>
      <c r="D449"/>
      <c r="E449"/>
      <c r="F449"/>
      <c r="G449"/>
      <c r="H449" s="51"/>
      <c r="I449" s="51"/>
      <c r="J449" s="51"/>
      <c r="K449"/>
      <c r="L449" s="66"/>
      <c r="N449" s="66"/>
      <c r="O449" s="68"/>
      <c r="Q449" s="2"/>
      <c r="R449"/>
      <c r="S449"/>
    </row>
    <row r="450" spans="1:19" s="67" customFormat="1" ht="18" x14ac:dyDescent="0.35">
      <c r="A450" s="1"/>
      <c r="B450"/>
      <c r="C450" s="1"/>
      <c r="D450"/>
      <c r="E450"/>
      <c r="F450"/>
      <c r="G450"/>
      <c r="H450" s="51"/>
      <c r="I450" s="51"/>
      <c r="J450" s="51"/>
      <c r="K450"/>
      <c r="L450" s="66"/>
      <c r="N450" s="66"/>
      <c r="O450" s="68"/>
      <c r="Q450" s="2"/>
      <c r="R450"/>
      <c r="S450"/>
    </row>
    <row r="451" spans="1:19" s="67" customFormat="1" ht="18" x14ac:dyDescent="0.35">
      <c r="A451" s="1"/>
      <c r="B451"/>
      <c r="C451" s="1"/>
      <c r="D451"/>
      <c r="E451"/>
      <c r="F451"/>
      <c r="G451"/>
      <c r="H451" s="51"/>
      <c r="I451" s="51"/>
      <c r="J451" s="51"/>
      <c r="K451"/>
      <c r="L451" s="66"/>
      <c r="N451" s="66"/>
      <c r="O451" s="68"/>
      <c r="Q451" s="2"/>
      <c r="R451"/>
      <c r="S451"/>
    </row>
    <row r="452" spans="1:19" s="67" customFormat="1" ht="18" x14ac:dyDescent="0.35">
      <c r="A452" s="1"/>
      <c r="B452"/>
      <c r="C452" s="1"/>
      <c r="D452"/>
      <c r="E452"/>
      <c r="F452"/>
      <c r="G452"/>
      <c r="H452" s="51"/>
      <c r="I452" s="51"/>
      <c r="J452" s="51"/>
      <c r="K452"/>
      <c r="L452" s="66"/>
      <c r="N452" s="66"/>
      <c r="O452" s="68"/>
      <c r="Q452" s="2"/>
      <c r="R452"/>
      <c r="S452"/>
    </row>
    <row r="453" spans="1:19" s="67" customFormat="1" ht="18" x14ac:dyDescent="0.35">
      <c r="A453" s="1"/>
      <c r="B453"/>
      <c r="C453" s="1"/>
      <c r="D453"/>
      <c r="E453"/>
      <c r="F453"/>
      <c r="G453"/>
      <c r="H453" s="51"/>
      <c r="I453" s="51"/>
      <c r="J453" s="51"/>
      <c r="K453"/>
      <c r="L453" s="66"/>
      <c r="N453" s="66"/>
      <c r="O453" s="68"/>
      <c r="Q453" s="2"/>
      <c r="R453"/>
      <c r="S453"/>
    </row>
    <row r="454" spans="1:19" s="67" customFormat="1" ht="26.25" customHeight="1" x14ac:dyDescent="0.35">
      <c r="A454" s="1"/>
      <c r="B454"/>
      <c r="C454" s="1"/>
      <c r="D454"/>
      <c r="E454"/>
      <c r="F454"/>
      <c r="G454"/>
      <c r="H454" s="51"/>
      <c r="I454" s="51"/>
      <c r="J454" s="51"/>
      <c r="K454"/>
      <c r="L454" s="66"/>
      <c r="N454" s="66"/>
      <c r="O454" s="68"/>
      <c r="Q454" s="2"/>
      <c r="R454"/>
      <c r="S454"/>
    </row>
    <row r="455" spans="1:19" s="67" customFormat="1" ht="26.25" customHeight="1" x14ac:dyDescent="0.35">
      <c r="A455" s="1"/>
      <c r="B455"/>
      <c r="C455" s="1"/>
      <c r="D455"/>
      <c r="E455"/>
      <c r="F455"/>
      <c r="G455"/>
      <c r="H455" s="51"/>
      <c r="I455" s="51"/>
      <c r="J455" s="51"/>
      <c r="K455"/>
      <c r="L455" s="66"/>
      <c r="N455" s="66"/>
      <c r="O455" s="68"/>
      <c r="Q455" s="2"/>
      <c r="R455"/>
      <c r="S455"/>
    </row>
    <row r="456" spans="1:19" s="67" customFormat="1" ht="26.25" customHeight="1" x14ac:dyDescent="0.35">
      <c r="A456" s="1"/>
      <c r="B456"/>
      <c r="C456" s="1"/>
      <c r="D456"/>
      <c r="E456"/>
      <c r="F456"/>
      <c r="G456"/>
      <c r="H456" s="51"/>
      <c r="I456" s="51"/>
      <c r="J456" s="51"/>
      <c r="K456"/>
      <c r="L456" s="66"/>
      <c r="N456" s="66"/>
      <c r="O456" s="68"/>
      <c r="Q456" s="2"/>
      <c r="R456"/>
      <c r="S456"/>
    </row>
    <row r="457" spans="1:19" s="67" customFormat="1" ht="26.25" customHeight="1" x14ac:dyDescent="0.35">
      <c r="A457" s="1"/>
      <c r="B457"/>
      <c r="C457" s="1"/>
      <c r="D457"/>
      <c r="E457"/>
      <c r="F457"/>
      <c r="G457"/>
      <c r="H457" s="51"/>
      <c r="I457" s="51"/>
      <c r="J457" s="51"/>
      <c r="K457"/>
      <c r="L457" s="66"/>
      <c r="N457" s="66"/>
      <c r="O457" s="68"/>
      <c r="Q457" s="2"/>
      <c r="R457"/>
      <c r="S457"/>
    </row>
    <row r="458" spans="1:19" s="67" customFormat="1" ht="26.25" customHeight="1" x14ac:dyDescent="0.35">
      <c r="A458" s="1"/>
      <c r="B458"/>
      <c r="C458" s="1"/>
      <c r="D458"/>
      <c r="E458"/>
      <c r="F458"/>
      <c r="G458"/>
      <c r="H458" s="51"/>
      <c r="I458" s="51"/>
      <c r="J458" s="51"/>
      <c r="K458"/>
      <c r="L458" s="66"/>
      <c r="N458" s="66"/>
      <c r="O458" s="68"/>
      <c r="Q458" s="2"/>
      <c r="R458"/>
      <c r="S458"/>
    </row>
    <row r="459" spans="1:19" s="67" customFormat="1" ht="26.25" customHeight="1" x14ac:dyDescent="0.35">
      <c r="A459" s="1"/>
      <c r="B459"/>
      <c r="C459" s="1"/>
      <c r="D459"/>
      <c r="E459"/>
      <c r="F459"/>
      <c r="G459"/>
      <c r="H459" s="51"/>
      <c r="I459" s="51"/>
      <c r="J459" s="51"/>
      <c r="K459"/>
      <c r="L459" s="66"/>
      <c r="N459" s="66"/>
      <c r="O459" s="68"/>
      <c r="Q459" s="2"/>
      <c r="R459"/>
      <c r="S459"/>
    </row>
    <row r="460" spans="1:19" s="67" customFormat="1" ht="26.25" customHeight="1" x14ac:dyDescent="0.35">
      <c r="A460" s="1"/>
      <c r="B460"/>
      <c r="C460" s="1"/>
      <c r="D460"/>
      <c r="E460"/>
      <c r="F460"/>
      <c r="G460"/>
      <c r="H460" s="51"/>
      <c r="I460" s="51"/>
      <c r="J460" s="51"/>
      <c r="K460"/>
      <c r="L460" s="66"/>
      <c r="N460" s="66"/>
      <c r="O460" s="68"/>
      <c r="Q460" s="2"/>
      <c r="R460"/>
      <c r="S460"/>
    </row>
    <row r="461" spans="1:19" s="67" customFormat="1" ht="26.25" customHeight="1" x14ac:dyDescent="0.35">
      <c r="A461" s="1"/>
      <c r="B461"/>
      <c r="C461" s="1"/>
      <c r="D461"/>
      <c r="E461"/>
      <c r="F461"/>
      <c r="G461"/>
      <c r="H461" s="51"/>
      <c r="I461" s="51"/>
      <c r="J461" s="51"/>
      <c r="K461"/>
      <c r="L461" s="66"/>
      <c r="N461" s="66"/>
      <c r="O461" s="68"/>
      <c r="Q461" s="2"/>
      <c r="R461"/>
      <c r="S461"/>
    </row>
    <row r="462" spans="1:19" s="67" customFormat="1" ht="26.25" customHeight="1" x14ac:dyDescent="0.35">
      <c r="A462" s="1"/>
      <c r="B462"/>
      <c r="C462" s="1"/>
      <c r="D462"/>
      <c r="E462"/>
      <c r="F462"/>
      <c r="G462"/>
      <c r="H462" s="51"/>
      <c r="I462" s="51"/>
      <c r="J462" s="51"/>
      <c r="K462"/>
      <c r="L462" s="66"/>
      <c r="N462" s="66"/>
      <c r="O462" s="68"/>
      <c r="Q462" s="2"/>
      <c r="R462"/>
      <c r="S462"/>
    </row>
    <row r="463" spans="1:19" s="67" customFormat="1" ht="26.25" customHeight="1" x14ac:dyDescent="0.35">
      <c r="A463" s="1"/>
      <c r="B463"/>
      <c r="C463" s="1"/>
      <c r="D463"/>
      <c r="E463"/>
      <c r="F463"/>
      <c r="G463"/>
      <c r="H463" s="51"/>
      <c r="I463" s="51"/>
      <c r="J463" s="51"/>
      <c r="K463"/>
      <c r="L463" s="66"/>
      <c r="N463" s="66"/>
      <c r="O463" s="68"/>
      <c r="Q463" s="2"/>
      <c r="R463"/>
      <c r="S463"/>
    </row>
    <row r="464" spans="1:19" s="67" customFormat="1" ht="26.25" customHeight="1" x14ac:dyDescent="0.35">
      <c r="A464" s="1"/>
      <c r="B464"/>
      <c r="C464" s="1"/>
      <c r="D464"/>
      <c r="E464"/>
      <c r="F464"/>
      <c r="G464"/>
      <c r="H464" s="51"/>
      <c r="I464" s="51"/>
      <c r="J464" s="51"/>
      <c r="K464"/>
      <c r="L464" s="66"/>
      <c r="N464" s="66"/>
      <c r="O464" s="68"/>
      <c r="Q464" s="2"/>
      <c r="R464"/>
      <c r="S464"/>
    </row>
    <row r="465" spans="1:19" s="67" customFormat="1" ht="26.25" customHeight="1" x14ac:dyDescent="0.35">
      <c r="A465" s="1"/>
      <c r="B465"/>
      <c r="C465" s="1"/>
      <c r="D465"/>
      <c r="E465"/>
      <c r="F465"/>
      <c r="G465"/>
      <c r="H465" s="51"/>
      <c r="I465" s="51"/>
      <c r="J465" s="51"/>
      <c r="K465"/>
      <c r="L465" s="66"/>
      <c r="N465" s="66"/>
      <c r="O465" s="68"/>
      <c r="Q465" s="2"/>
      <c r="R465"/>
      <c r="S465"/>
    </row>
    <row r="466" spans="1:19" s="67" customFormat="1" ht="26.25" customHeight="1" x14ac:dyDescent="0.35">
      <c r="A466" s="1"/>
      <c r="B466"/>
      <c r="C466" s="1"/>
      <c r="D466"/>
      <c r="E466"/>
      <c r="F466"/>
      <c r="G466"/>
      <c r="H466" s="51"/>
      <c r="I466" s="51"/>
      <c r="J466" s="51"/>
      <c r="K466"/>
      <c r="L466" s="66"/>
      <c r="N466" s="66"/>
      <c r="O466" s="68"/>
      <c r="Q466" s="2"/>
      <c r="R466"/>
      <c r="S466"/>
    </row>
    <row r="467" spans="1:19" s="67" customFormat="1" ht="26.25" customHeight="1" x14ac:dyDescent="0.35">
      <c r="A467" s="1"/>
      <c r="B467"/>
      <c r="C467" s="1"/>
      <c r="D467"/>
      <c r="E467"/>
      <c r="F467"/>
      <c r="G467"/>
      <c r="H467" s="51"/>
      <c r="I467" s="51"/>
      <c r="J467" s="51"/>
      <c r="K467"/>
      <c r="L467" s="66"/>
      <c r="N467" s="66"/>
      <c r="O467" s="68"/>
      <c r="Q467" s="2"/>
      <c r="R467"/>
      <c r="S467"/>
    </row>
    <row r="468" spans="1:19" s="67" customFormat="1" ht="26.25" customHeight="1" x14ac:dyDescent="0.35">
      <c r="A468" s="1"/>
      <c r="B468"/>
      <c r="C468" s="1"/>
      <c r="D468"/>
      <c r="E468"/>
      <c r="F468"/>
      <c r="G468"/>
      <c r="H468" s="51"/>
      <c r="I468" s="51"/>
      <c r="J468" s="51"/>
      <c r="K468"/>
      <c r="L468" s="66"/>
      <c r="N468" s="66"/>
      <c r="O468" s="68"/>
      <c r="Q468" s="2"/>
      <c r="R468"/>
      <c r="S468"/>
    </row>
    <row r="469" spans="1:19" s="67" customFormat="1" ht="26.25" customHeight="1" x14ac:dyDescent="0.35">
      <c r="A469" s="1"/>
      <c r="B469"/>
      <c r="C469" s="1"/>
      <c r="D469"/>
      <c r="E469"/>
      <c r="F469"/>
      <c r="G469"/>
      <c r="H469" s="51"/>
      <c r="I469" s="51"/>
      <c r="J469" s="51"/>
      <c r="K469"/>
      <c r="L469" s="66"/>
      <c r="N469" s="66"/>
      <c r="O469" s="68"/>
      <c r="Q469" s="2"/>
      <c r="R469"/>
      <c r="S469"/>
    </row>
    <row r="470" spans="1:19" s="67" customFormat="1" ht="26.25" customHeight="1" x14ac:dyDescent="0.35">
      <c r="A470" s="1"/>
      <c r="B470"/>
      <c r="C470" s="1"/>
      <c r="D470"/>
      <c r="E470"/>
      <c r="F470"/>
      <c r="G470"/>
      <c r="H470" s="51"/>
      <c r="I470" s="51"/>
      <c r="J470" s="51"/>
      <c r="K470"/>
      <c r="L470" s="66"/>
      <c r="N470" s="66"/>
      <c r="O470" s="68"/>
      <c r="Q470" s="2"/>
      <c r="R470"/>
      <c r="S470"/>
    </row>
    <row r="471" spans="1:19" s="67" customFormat="1" ht="26.25" customHeight="1" x14ac:dyDescent="0.35">
      <c r="A471" s="1"/>
      <c r="B471"/>
      <c r="C471" s="1"/>
      <c r="D471"/>
      <c r="E471"/>
      <c r="F471"/>
      <c r="G471"/>
      <c r="H471" s="51"/>
      <c r="I471" s="51"/>
      <c r="J471" s="51"/>
      <c r="K471"/>
      <c r="L471" s="66"/>
      <c r="N471" s="66"/>
      <c r="O471" s="68"/>
      <c r="Q471" s="2"/>
      <c r="R471"/>
      <c r="S471"/>
    </row>
    <row r="472" spans="1:19" s="67" customFormat="1" ht="26.25" customHeight="1" x14ac:dyDescent="0.35">
      <c r="A472" s="1"/>
      <c r="B472"/>
      <c r="C472" s="1"/>
      <c r="D472"/>
      <c r="E472"/>
      <c r="F472"/>
      <c r="G472"/>
      <c r="H472" s="51"/>
      <c r="I472" s="51"/>
      <c r="J472" s="51"/>
      <c r="K472"/>
      <c r="L472" s="66"/>
      <c r="N472" s="66"/>
      <c r="O472" s="68"/>
      <c r="Q472" s="2"/>
      <c r="R472"/>
      <c r="S472"/>
    </row>
    <row r="473" spans="1:19" s="67" customFormat="1" ht="26.25" customHeight="1" x14ac:dyDescent="0.35">
      <c r="A473" s="1"/>
      <c r="B473"/>
      <c r="C473" s="1"/>
      <c r="D473"/>
      <c r="E473"/>
      <c r="F473"/>
      <c r="G473"/>
      <c r="H473" s="51"/>
      <c r="I473" s="51"/>
      <c r="J473" s="51"/>
      <c r="K473"/>
      <c r="L473" s="66"/>
      <c r="N473" s="66"/>
      <c r="O473" s="68"/>
      <c r="Q473" s="2"/>
      <c r="R473"/>
      <c r="S473"/>
    </row>
    <row r="474" spans="1:19" s="67" customFormat="1" ht="26.25" customHeight="1" x14ac:dyDescent="0.35">
      <c r="A474" s="1"/>
      <c r="B474"/>
      <c r="C474" s="1"/>
      <c r="D474"/>
      <c r="E474"/>
      <c r="F474"/>
      <c r="G474"/>
      <c r="H474" s="51"/>
      <c r="I474" s="51"/>
      <c r="J474" s="51"/>
      <c r="K474"/>
      <c r="L474" s="66"/>
      <c r="N474" s="66"/>
      <c r="O474" s="68"/>
      <c r="Q474" s="2"/>
      <c r="R474"/>
      <c r="S474"/>
    </row>
    <row r="475" spans="1:19" s="67" customFormat="1" ht="26.25" customHeight="1" x14ac:dyDescent="0.35">
      <c r="A475" s="1"/>
      <c r="B475"/>
      <c r="C475" s="1"/>
      <c r="D475"/>
      <c r="E475"/>
      <c r="F475"/>
      <c r="G475"/>
      <c r="H475" s="51"/>
      <c r="I475" s="51"/>
      <c r="J475" s="51"/>
      <c r="K475"/>
      <c r="L475" s="66"/>
      <c r="N475" s="66"/>
      <c r="O475" s="68"/>
      <c r="Q475" s="2"/>
      <c r="R475"/>
      <c r="S475"/>
    </row>
    <row r="476" spans="1:19" s="67" customFormat="1" ht="26.25" customHeight="1" x14ac:dyDescent="0.35">
      <c r="A476" s="1"/>
      <c r="B476"/>
      <c r="C476" s="1"/>
      <c r="D476"/>
      <c r="E476"/>
      <c r="F476"/>
      <c r="G476"/>
      <c r="H476" s="51"/>
      <c r="I476" s="51"/>
      <c r="J476" s="51"/>
      <c r="K476"/>
      <c r="L476" s="66"/>
      <c r="N476" s="66"/>
      <c r="O476" s="68"/>
      <c r="Q476" s="2"/>
      <c r="R476"/>
      <c r="S476"/>
    </row>
    <row r="477" spans="1:19" s="67" customFormat="1" ht="26.25" customHeight="1" x14ac:dyDescent="0.35">
      <c r="A477" s="1"/>
      <c r="B477"/>
      <c r="C477" s="1"/>
      <c r="D477"/>
      <c r="E477"/>
      <c r="F477"/>
      <c r="G477"/>
      <c r="H477" s="51"/>
      <c r="I477" s="51"/>
      <c r="J477" s="51"/>
      <c r="K477"/>
      <c r="L477" s="66"/>
      <c r="N477" s="66"/>
      <c r="O477" s="68"/>
      <c r="Q477" s="2"/>
      <c r="R477"/>
      <c r="S477"/>
    </row>
    <row r="478" spans="1:19" s="67" customFormat="1" ht="26.25" customHeight="1" x14ac:dyDescent="0.35">
      <c r="A478" s="1"/>
      <c r="B478"/>
      <c r="C478" s="1"/>
      <c r="D478"/>
      <c r="E478"/>
      <c r="F478"/>
      <c r="G478"/>
      <c r="H478" s="51"/>
      <c r="I478" s="51"/>
      <c r="J478" s="51"/>
      <c r="K478"/>
      <c r="L478" s="66"/>
      <c r="N478" s="66"/>
      <c r="O478" s="68"/>
      <c r="Q478" s="2"/>
      <c r="R478"/>
      <c r="S478"/>
    </row>
    <row r="479" spans="1:19" s="67" customFormat="1" ht="26.25" customHeight="1" x14ac:dyDescent="0.35">
      <c r="A479" s="1"/>
      <c r="B479"/>
      <c r="C479" s="1"/>
      <c r="D479"/>
      <c r="E479"/>
      <c r="F479"/>
      <c r="G479"/>
      <c r="H479" s="51"/>
      <c r="I479" s="51"/>
      <c r="J479" s="51"/>
      <c r="K479"/>
      <c r="L479" s="66"/>
      <c r="N479" s="66"/>
      <c r="O479" s="68"/>
      <c r="Q479" s="2"/>
      <c r="R479"/>
      <c r="S479"/>
    </row>
    <row r="480" spans="1:19" s="67" customFormat="1" ht="26.25" customHeight="1" x14ac:dyDescent="0.35">
      <c r="A480" s="1"/>
      <c r="B480"/>
      <c r="C480" s="1"/>
      <c r="D480"/>
      <c r="E480"/>
      <c r="F480"/>
      <c r="G480"/>
      <c r="H480" s="51"/>
      <c r="I480" s="51"/>
      <c r="J480" s="51"/>
      <c r="K480"/>
      <c r="L480" s="66"/>
      <c r="N480" s="66"/>
      <c r="O480" s="68"/>
      <c r="Q480" s="2"/>
      <c r="R480"/>
      <c r="S480"/>
    </row>
    <row r="481" spans="1:19" s="67" customFormat="1" ht="26.25" customHeight="1" x14ac:dyDescent="0.35">
      <c r="A481" s="1"/>
      <c r="B481"/>
      <c r="C481" s="1"/>
      <c r="D481"/>
      <c r="E481"/>
      <c r="F481"/>
      <c r="G481"/>
      <c r="H481" s="51"/>
      <c r="I481" s="51"/>
      <c r="J481" s="51"/>
      <c r="K481"/>
      <c r="L481" s="66"/>
      <c r="N481" s="66"/>
      <c r="O481" s="68"/>
      <c r="Q481" s="2"/>
      <c r="R481"/>
      <c r="S481"/>
    </row>
    <row r="482" spans="1:19" s="67" customFormat="1" ht="26.25" customHeight="1" x14ac:dyDescent="0.35">
      <c r="A482" s="1"/>
      <c r="B482"/>
      <c r="C482" s="1"/>
      <c r="D482"/>
      <c r="E482"/>
      <c r="F482"/>
      <c r="G482"/>
      <c r="H482" s="51"/>
      <c r="I482" s="51"/>
      <c r="J482" s="51"/>
      <c r="K482"/>
      <c r="L482" s="66"/>
      <c r="N482" s="66"/>
      <c r="O482" s="68"/>
      <c r="Q482" s="2"/>
      <c r="R482"/>
      <c r="S482"/>
    </row>
    <row r="483" spans="1:19" s="67" customFormat="1" ht="26.25" customHeight="1" x14ac:dyDescent="0.35">
      <c r="A483" s="1"/>
      <c r="B483"/>
      <c r="C483" s="1"/>
      <c r="D483"/>
      <c r="E483"/>
      <c r="F483"/>
      <c r="G483"/>
      <c r="H483" s="51"/>
      <c r="I483" s="51"/>
      <c r="J483" s="51"/>
      <c r="K483"/>
      <c r="L483" s="66"/>
      <c r="N483" s="66"/>
      <c r="O483" s="68"/>
      <c r="Q483" s="2"/>
      <c r="R483"/>
      <c r="S483"/>
    </row>
    <row r="484" spans="1:19" s="67" customFormat="1" ht="26.25" customHeight="1" x14ac:dyDescent="0.35">
      <c r="A484" s="1"/>
      <c r="B484"/>
      <c r="C484" s="1"/>
      <c r="D484"/>
      <c r="E484"/>
      <c r="F484"/>
      <c r="G484"/>
      <c r="H484" s="51"/>
      <c r="I484" s="51"/>
      <c r="J484" s="51"/>
      <c r="K484"/>
      <c r="L484" s="66"/>
      <c r="N484" s="66"/>
      <c r="O484" s="68"/>
      <c r="Q484" s="2"/>
      <c r="R484"/>
      <c r="S484"/>
    </row>
    <row r="485" spans="1:19" s="67" customFormat="1" ht="26.25" customHeight="1" x14ac:dyDescent="0.35">
      <c r="A485" s="1"/>
      <c r="B485"/>
      <c r="C485" s="1"/>
      <c r="D485"/>
      <c r="E485"/>
      <c r="F485"/>
      <c r="G485"/>
      <c r="H485" s="51"/>
      <c r="I485" s="51"/>
      <c r="J485" s="51"/>
      <c r="K485"/>
      <c r="L485" s="66"/>
      <c r="N485" s="66"/>
      <c r="O485" s="68"/>
      <c r="Q485" s="2"/>
      <c r="R485"/>
      <c r="S485"/>
    </row>
    <row r="486" spans="1:19" s="67" customFormat="1" ht="26.25" customHeight="1" x14ac:dyDescent="0.35">
      <c r="A486" s="1"/>
      <c r="B486"/>
      <c r="C486" s="1"/>
      <c r="D486"/>
      <c r="E486"/>
      <c r="F486"/>
      <c r="G486"/>
      <c r="H486" s="51"/>
      <c r="I486" s="51"/>
      <c r="J486" s="51"/>
      <c r="K486"/>
      <c r="L486" s="66"/>
      <c r="N486" s="66"/>
      <c r="O486" s="68"/>
      <c r="Q486" s="2"/>
      <c r="R486"/>
      <c r="S486"/>
    </row>
    <row r="487" spans="1:19" s="67" customFormat="1" ht="26.25" customHeight="1" x14ac:dyDescent="0.35">
      <c r="A487" s="1"/>
      <c r="B487"/>
      <c r="C487" s="1"/>
      <c r="D487"/>
      <c r="E487"/>
      <c r="F487"/>
      <c r="G487"/>
      <c r="H487" s="51"/>
      <c r="I487" s="51"/>
      <c r="J487" s="51"/>
      <c r="K487"/>
      <c r="L487" s="66"/>
      <c r="N487" s="66"/>
      <c r="O487" s="68"/>
      <c r="Q487" s="2"/>
      <c r="R487"/>
      <c r="S487"/>
    </row>
    <row r="488" spans="1:19" s="67" customFormat="1" ht="26.25" customHeight="1" x14ac:dyDescent="0.35">
      <c r="A488" s="1"/>
      <c r="B488"/>
      <c r="C488" s="1"/>
      <c r="D488"/>
      <c r="E488"/>
      <c r="F488"/>
      <c r="G488"/>
      <c r="H488" s="51"/>
      <c r="I488" s="51"/>
      <c r="J488" s="51"/>
      <c r="K488"/>
      <c r="L488" s="66"/>
      <c r="N488" s="66"/>
      <c r="O488" s="68"/>
      <c r="Q488" s="2"/>
      <c r="R488"/>
      <c r="S488"/>
    </row>
    <row r="489" spans="1:19" s="67" customFormat="1" ht="26.25" customHeight="1" x14ac:dyDescent="0.35">
      <c r="A489" s="1"/>
      <c r="B489"/>
      <c r="C489" s="1"/>
      <c r="D489"/>
      <c r="E489"/>
      <c r="F489"/>
      <c r="G489"/>
      <c r="H489" s="51"/>
      <c r="I489" s="51"/>
      <c r="J489" s="51"/>
      <c r="K489"/>
      <c r="L489" s="66"/>
      <c r="N489" s="66"/>
      <c r="O489" s="68"/>
      <c r="Q489" s="2"/>
      <c r="R489"/>
      <c r="S489"/>
    </row>
    <row r="490" spans="1:19" s="67" customFormat="1" ht="26.25" customHeight="1" x14ac:dyDescent="0.35">
      <c r="A490" s="1"/>
      <c r="B490"/>
      <c r="C490" s="1"/>
      <c r="D490"/>
      <c r="E490"/>
      <c r="F490"/>
      <c r="G490"/>
      <c r="H490" s="51"/>
      <c r="I490" s="51"/>
      <c r="J490" s="51"/>
      <c r="K490"/>
      <c r="L490" s="66"/>
      <c r="N490" s="66"/>
      <c r="O490" s="68"/>
      <c r="Q490" s="2"/>
      <c r="R490"/>
      <c r="S490"/>
    </row>
    <row r="491" spans="1:19" s="67" customFormat="1" ht="26.25" customHeight="1" x14ac:dyDescent="0.35">
      <c r="A491" s="1"/>
      <c r="B491"/>
      <c r="C491" s="1"/>
      <c r="D491"/>
      <c r="E491"/>
      <c r="F491"/>
      <c r="G491"/>
      <c r="H491" s="51"/>
      <c r="I491" s="51"/>
      <c r="J491" s="51"/>
      <c r="K491"/>
      <c r="L491" s="66"/>
      <c r="N491" s="66"/>
      <c r="O491" s="68"/>
      <c r="Q491" s="2"/>
      <c r="R491"/>
      <c r="S491"/>
    </row>
    <row r="492" spans="1:19" s="67" customFormat="1" ht="26.25" customHeight="1" x14ac:dyDescent="0.35">
      <c r="A492" s="1"/>
      <c r="B492"/>
      <c r="C492" s="1"/>
      <c r="D492"/>
      <c r="E492"/>
      <c r="F492"/>
      <c r="G492"/>
      <c r="H492" s="51"/>
      <c r="I492" s="51"/>
      <c r="J492" s="51"/>
      <c r="K492"/>
      <c r="L492" s="66"/>
      <c r="N492" s="66"/>
      <c r="O492" s="68"/>
      <c r="Q492" s="2"/>
      <c r="R492"/>
      <c r="S492"/>
    </row>
    <row r="493" spans="1:19" s="67" customFormat="1" ht="26.25" customHeight="1" x14ac:dyDescent="0.35">
      <c r="A493" s="1"/>
      <c r="B493"/>
      <c r="C493" s="1"/>
      <c r="D493"/>
      <c r="E493"/>
      <c r="F493"/>
      <c r="G493"/>
      <c r="H493" s="51"/>
      <c r="I493" s="51"/>
      <c r="J493" s="51"/>
      <c r="K493"/>
      <c r="L493" s="66"/>
      <c r="N493" s="66"/>
      <c r="O493" s="68"/>
      <c r="Q493" s="2"/>
      <c r="R493"/>
      <c r="S493"/>
    </row>
    <row r="494" spans="1:19" s="67" customFormat="1" ht="26.25" customHeight="1" x14ac:dyDescent="0.35">
      <c r="A494" s="1"/>
      <c r="B494"/>
      <c r="C494" s="1"/>
      <c r="D494"/>
      <c r="E494"/>
      <c r="F494"/>
      <c r="G494"/>
      <c r="H494" s="51"/>
      <c r="I494" s="51"/>
      <c r="J494" s="51"/>
      <c r="K494"/>
      <c r="L494" s="66"/>
      <c r="N494" s="66"/>
      <c r="O494" s="68"/>
      <c r="Q494" s="2"/>
      <c r="R494"/>
      <c r="S494"/>
    </row>
    <row r="495" spans="1:19" s="67" customFormat="1" ht="26.25" customHeight="1" x14ac:dyDescent="0.35">
      <c r="A495" s="1"/>
      <c r="B495"/>
      <c r="C495" s="1"/>
      <c r="D495"/>
      <c r="E495"/>
      <c r="F495"/>
      <c r="G495"/>
      <c r="H495" s="51"/>
      <c r="I495" s="51"/>
      <c r="J495" s="51"/>
      <c r="K495"/>
      <c r="L495" s="66"/>
      <c r="N495" s="66"/>
      <c r="O495" s="68"/>
      <c r="Q495" s="2"/>
      <c r="R495"/>
      <c r="S495"/>
    </row>
    <row r="496" spans="1:19" s="67" customFormat="1" ht="26.25" customHeight="1" x14ac:dyDescent="0.35">
      <c r="A496" s="1"/>
      <c r="B496"/>
      <c r="C496" s="1"/>
      <c r="D496"/>
      <c r="E496"/>
      <c r="F496"/>
      <c r="G496"/>
      <c r="H496" s="51"/>
      <c r="I496" s="51"/>
      <c r="J496" s="51"/>
      <c r="K496"/>
      <c r="L496" s="66"/>
      <c r="N496" s="66"/>
      <c r="O496" s="68"/>
      <c r="Q496" s="2"/>
      <c r="R496"/>
      <c r="S496"/>
    </row>
    <row r="497" spans="1:19" s="67" customFormat="1" ht="26.25" customHeight="1" x14ac:dyDescent="0.35">
      <c r="A497" s="1"/>
      <c r="B497"/>
      <c r="C497" s="1"/>
      <c r="D497"/>
      <c r="E497"/>
      <c r="F497"/>
      <c r="G497"/>
      <c r="H497" s="51"/>
      <c r="I497" s="51"/>
      <c r="J497" s="51"/>
      <c r="K497"/>
      <c r="L497" s="66"/>
      <c r="N497" s="66"/>
      <c r="O497" s="68"/>
      <c r="Q497" s="2"/>
      <c r="R497"/>
      <c r="S497"/>
    </row>
    <row r="498" spans="1:19" s="67" customFormat="1" ht="26.25" customHeight="1" x14ac:dyDescent="0.35">
      <c r="A498" s="1"/>
      <c r="B498"/>
      <c r="C498" s="1"/>
      <c r="D498"/>
      <c r="E498"/>
      <c r="F498"/>
      <c r="G498"/>
      <c r="H498" s="51"/>
      <c r="I498" s="51"/>
      <c r="J498" s="51"/>
      <c r="K498"/>
      <c r="L498" s="66"/>
      <c r="N498" s="66"/>
      <c r="O498" s="68"/>
      <c r="Q498" s="2"/>
      <c r="R498"/>
      <c r="S498"/>
    </row>
    <row r="499" spans="1:19" s="67" customFormat="1" ht="26.25" customHeight="1" x14ac:dyDescent="0.35">
      <c r="A499" s="1"/>
      <c r="B499"/>
      <c r="C499" s="1"/>
      <c r="D499"/>
      <c r="E499"/>
      <c r="F499"/>
      <c r="G499"/>
      <c r="H499" s="51"/>
      <c r="I499" s="51"/>
      <c r="J499" s="51"/>
      <c r="K499"/>
      <c r="L499" s="66"/>
      <c r="N499" s="66"/>
      <c r="O499" s="68"/>
      <c r="Q499" s="2"/>
      <c r="R499"/>
      <c r="S499"/>
    </row>
    <row r="500" spans="1:19" s="67" customFormat="1" ht="26.25" customHeight="1" x14ac:dyDescent="0.35">
      <c r="A500" s="1"/>
      <c r="B500"/>
      <c r="C500" s="1"/>
      <c r="D500"/>
      <c r="E500"/>
      <c r="F500"/>
      <c r="G500"/>
      <c r="H500" s="51"/>
      <c r="I500" s="51"/>
      <c r="J500" s="51"/>
      <c r="K500"/>
      <c r="L500" s="66"/>
      <c r="N500" s="66"/>
      <c r="O500" s="68"/>
      <c r="Q500" s="2"/>
      <c r="R500"/>
      <c r="S500"/>
    </row>
    <row r="501" spans="1:19" s="67" customFormat="1" ht="26.25" customHeight="1" x14ac:dyDescent="0.35">
      <c r="A501" s="1"/>
      <c r="B501"/>
      <c r="C501" s="1"/>
      <c r="D501"/>
      <c r="E501"/>
      <c r="F501"/>
      <c r="G501"/>
      <c r="H501" s="51"/>
      <c r="I501" s="51"/>
      <c r="J501" s="51"/>
      <c r="K501"/>
      <c r="L501" s="66"/>
      <c r="N501" s="66"/>
      <c r="O501" s="68"/>
      <c r="Q501" s="2"/>
      <c r="R501"/>
      <c r="S501"/>
    </row>
    <row r="502" spans="1:19" s="67" customFormat="1" ht="26.25" customHeight="1" x14ac:dyDescent="0.35">
      <c r="A502" s="1"/>
      <c r="B502"/>
      <c r="C502" s="1"/>
      <c r="D502"/>
      <c r="E502"/>
      <c r="F502"/>
      <c r="G502"/>
      <c r="H502" s="51"/>
      <c r="I502" s="51"/>
      <c r="J502" s="51"/>
      <c r="K502"/>
      <c r="L502" s="66"/>
      <c r="N502" s="66"/>
      <c r="O502" s="68"/>
      <c r="Q502" s="2"/>
      <c r="R502"/>
      <c r="S502"/>
    </row>
    <row r="503" spans="1:19" s="67" customFormat="1" ht="26.25" customHeight="1" x14ac:dyDescent="0.35">
      <c r="A503" s="1"/>
      <c r="B503"/>
      <c r="C503" s="1"/>
      <c r="D503"/>
      <c r="E503"/>
      <c r="F503"/>
      <c r="G503"/>
      <c r="H503" s="51"/>
      <c r="I503" s="51"/>
      <c r="J503" s="51"/>
      <c r="K503"/>
      <c r="L503" s="66"/>
      <c r="N503" s="66"/>
      <c r="O503" s="68"/>
      <c r="Q503" s="2"/>
      <c r="R503"/>
      <c r="S503"/>
    </row>
    <row r="504" spans="1:19" s="67" customFormat="1" ht="26.25" customHeight="1" x14ac:dyDescent="0.35">
      <c r="A504" s="1"/>
      <c r="B504"/>
      <c r="C504" s="1"/>
      <c r="D504"/>
      <c r="E504"/>
      <c r="F504"/>
      <c r="G504"/>
      <c r="H504" s="51"/>
      <c r="I504" s="51"/>
      <c r="J504" s="51"/>
      <c r="K504"/>
      <c r="L504" s="66"/>
      <c r="N504" s="66"/>
      <c r="O504" s="68"/>
      <c r="Q504" s="2"/>
      <c r="R504"/>
      <c r="S504"/>
    </row>
    <row r="505" spans="1:19" s="67" customFormat="1" ht="26.25" customHeight="1" x14ac:dyDescent="0.35">
      <c r="A505" s="1"/>
      <c r="B505"/>
      <c r="C505" s="1"/>
      <c r="D505"/>
      <c r="E505"/>
      <c r="F505"/>
      <c r="G505"/>
      <c r="H505" s="51"/>
      <c r="I505" s="51"/>
      <c r="J505" s="51"/>
      <c r="K505"/>
      <c r="L505" s="66"/>
      <c r="N505" s="66"/>
      <c r="O505" s="68"/>
      <c r="Q505" s="2"/>
      <c r="R505"/>
      <c r="S505"/>
    </row>
    <row r="506" spans="1:19" s="67" customFormat="1" ht="26.25" customHeight="1" x14ac:dyDescent="0.35">
      <c r="A506" s="1"/>
      <c r="B506"/>
      <c r="C506" s="1"/>
      <c r="D506"/>
      <c r="E506"/>
      <c r="F506"/>
      <c r="G506"/>
      <c r="H506" s="51"/>
      <c r="I506" s="51"/>
      <c r="J506" s="51"/>
      <c r="K506"/>
      <c r="L506" s="66"/>
      <c r="N506" s="66"/>
      <c r="O506" s="68"/>
      <c r="Q506" s="2"/>
      <c r="R506"/>
      <c r="S506"/>
    </row>
    <row r="507" spans="1:19" s="67" customFormat="1" ht="26.25" customHeight="1" x14ac:dyDescent="0.35">
      <c r="A507" s="1"/>
      <c r="B507"/>
      <c r="C507" s="1"/>
      <c r="D507"/>
      <c r="E507"/>
      <c r="F507"/>
      <c r="G507"/>
      <c r="H507" s="51"/>
      <c r="I507" s="51"/>
      <c r="J507" s="51"/>
      <c r="K507"/>
      <c r="L507" s="66"/>
      <c r="N507" s="66"/>
      <c r="O507" s="68"/>
      <c r="Q507" s="2"/>
      <c r="R507"/>
      <c r="S507"/>
    </row>
    <row r="508" spans="1:19" s="67" customFormat="1" ht="26.25" customHeight="1" x14ac:dyDescent="0.35">
      <c r="A508" s="1"/>
      <c r="B508"/>
      <c r="C508" s="1"/>
      <c r="D508"/>
      <c r="E508"/>
      <c r="F508"/>
      <c r="G508"/>
      <c r="H508" s="51"/>
      <c r="I508" s="51"/>
      <c r="J508" s="51"/>
      <c r="K508"/>
      <c r="L508" s="66"/>
      <c r="N508" s="66"/>
      <c r="O508" s="68"/>
      <c r="Q508" s="2"/>
      <c r="R508"/>
      <c r="S508"/>
    </row>
    <row r="509" spans="1:19" s="67" customFormat="1" ht="26.25" customHeight="1" x14ac:dyDescent="0.35">
      <c r="A509" s="1"/>
      <c r="B509"/>
      <c r="C509" s="1"/>
      <c r="D509"/>
      <c r="E509"/>
      <c r="F509"/>
      <c r="G509"/>
      <c r="H509" s="51"/>
      <c r="I509" s="51"/>
      <c r="J509" s="51"/>
      <c r="K509"/>
      <c r="L509" s="66"/>
      <c r="N509" s="66"/>
      <c r="O509" s="68"/>
      <c r="Q509" s="2"/>
      <c r="R509"/>
      <c r="S509"/>
    </row>
    <row r="510" spans="1:19" s="67" customFormat="1" ht="26.25" customHeight="1" x14ac:dyDescent="0.35">
      <c r="A510" s="1"/>
      <c r="B510"/>
      <c r="C510" s="1"/>
      <c r="D510"/>
      <c r="E510"/>
      <c r="F510"/>
      <c r="G510"/>
      <c r="H510" s="51"/>
      <c r="I510" s="51"/>
      <c r="J510" s="51"/>
      <c r="K510"/>
      <c r="L510" s="66"/>
      <c r="N510" s="66"/>
      <c r="O510" s="68"/>
      <c r="Q510" s="2"/>
      <c r="R510"/>
      <c r="S510"/>
    </row>
    <row r="511" spans="1:19" s="67" customFormat="1" ht="26.25" customHeight="1" x14ac:dyDescent="0.35">
      <c r="A511" s="1"/>
      <c r="B511"/>
      <c r="C511" s="1"/>
      <c r="D511"/>
      <c r="E511"/>
      <c r="F511"/>
      <c r="G511"/>
      <c r="H511" s="51"/>
      <c r="I511" s="51"/>
      <c r="J511" s="51"/>
      <c r="K511"/>
      <c r="L511" s="66"/>
      <c r="N511" s="66"/>
      <c r="O511" s="68"/>
      <c r="Q511" s="2"/>
      <c r="R511"/>
      <c r="S511"/>
    </row>
    <row r="512" spans="1:19" s="67" customFormat="1" ht="26.25" customHeight="1" x14ac:dyDescent="0.35">
      <c r="A512" s="1"/>
      <c r="B512"/>
      <c r="C512" s="1"/>
      <c r="D512"/>
      <c r="E512"/>
      <c r="F512"/>
      <c r="G512"/>
      <c r="H512" s="51"/>
      <c r="I512" s="51"/>
      <c r="J512" s="51"/>
      <c r="K512"/>
      <c r="L512" s="66"/>
      <c r="N512" s="66"/>
      <c r="O512" s="68"/>
      <c r="Q512" s="2"/>
      <c r="R512"/>
      <c r="S512"/>
    </row>
    <row r="513" spans="1:19" s="67" customFormat="1" ht="26.25" customHeight="1" x14ac:dyDescent="0.35">
      <c r="A513" s="1"/>
      <c r="B513"/>
      <c r="C513" s="1"/>
      <c r="D513"/>
      <c r="E513"/>
      <c r="F513"/>
      <c r="G513"/>
      <c r="H513" s="51"/>
      <c r="I513" s="51"/>
      <c r="J513" s="51"/>
      <c r="K513"/>
      <c r="L513" s="66"/>
      <c r="N513" s="66"/>
      <c r="O513" s="68"/>
      <c r="Q513" s="2"/>
      <c r="R513"/>
      <c r="S513"/>
    </row>
    <row r="514" spans="1:19" s="67" customFormat="1" ht="26.25" customHeight="1" x14ac:dyDescent="0.35">
      <c r="A514" s="1"/>
      <c r="B514"/>
      <c r="C514" s="1"/>
      <c r="D514"/>
      <c r="E514"/>
      <c r="F514"/>
      <c r="G514"/>
      <c r="H514" s="51"/>
      <c r="I514" s="51"/>
      <c r="J514" s="51"/>
      <c r="K514"/>
      <c r="L514" s="66"/>
      <c r="N514" s="66"/>
      <c r="O514" s="68"/>
      <c r="Q514" s="2"/>
      <c r="R514"/>
      <c r="S514"/>
    </row>
    <row r="515" spans="1:19" s="67" customFormat="1" ht="26.25" customHeight="1" x14ac:dyDescent="0.35">
      <c r="A515" s="1"/>
      <c r="B515"/>
      <c r="C515" s="1"/>
      <c r="D515"/>
      <c r="E515"/>
      <c r="F515"/>
      <c r="G515"/>
      <c r="H515" s="51"/>
      <c r="I515" s="51"/>
      <c r="J515" s="51"/>
      <c r="K515"/>
      <c r="L515" s="66"/>
      <c r="N515" s="66"/>
      <c r="O515" s="68"/>
      <c r="Q515" s="2"/>
      <c r="R515"/>
      <c r="S515"/>
    </row>
    <row r="516" spans="1:19" s="67" customFormat="1" ht="26.25" customHeight="1" x14ac:dyDescent="0.35">
      <c r="A516" s="1"/>
      <c r="B516"/>
      <c r="C516" s="1"/>
      <c r="D516"/>
      <c r="E516"/>
      <c r="F516"/>
      <c r="G516"/>
      <c r="H516" s="51"/>
      <c r="I516" s="51"/>
      <c r="J516" s="51"/>
      <c r="K516"/>
      <c r="L516" s="66"/>
      <c r="N516" s="66"/>
      <c r="O516" s="68"/>
      <c r="Q516" s="2"/>
      <c r="R516"/>
      <c r="S516"/>
    </row>
    <row r="517" spans="1:19" s="67" customFormat="1" ht="26.25" customHeight="1" x14ac:dyDescent="0.35">
      <c r="A517" s="1"/>
      <c r="B517"/>
      <c r="C517" s="1"/>
      <c r="D517"/>
      <c r="E517"/>
      <c r="F517"/>
      <c r="G517"/>
      <c r="H517" s="51"/>
      <c r="I517" s="51"/>
      <c r="J517" s="51"/>
      <c r="K517"/>
      <c r="L517" s="66"/>
      <c r="N517" s="66"/>
      <c r="O517" s="68"/>
      <c r="Q517" s="2"/>
      <c r="R517"/>
      <c r="S517"/>
    </row>
    <row r="518" spans="1:19" s="67" customFormat="1" ht="26.25" customHeight="1" x14ac:dyDescent="0.35">
      <c r="A518" s="1"/>
      <c r="B518"/>
      <c r="C518" s="1"/>
      <c r="D518"/>
      <c r="E518"/>
      <c r="F518"/>
      <c r="G518"/>
      <c r="H518" s="51"/>
      <c r="I518" s="51"/>
      <c r="J518" s="51"/>
      <c r="K518"/>
      <c r="L518" s="66"/>
      <c r="N518" s="66"/>
      <c r="O518" s="68"/>
      <c r="Q518" s="2"/>
      <c r="R518"/>
      <c r="S518"/>
    </row>
    <row r="519" spans="1:19" s="67" customFormat="1" ht="26.25" customHeight="1" x14ac:dyDescent="0.35">
      <c r="A519" s="1"/>
      <c r="B519"/>
      <c r="C519" s="1"/>
      <c r="D519"/>
      <c r="E519"/>
      <c r="F519"/>
      <c r="G519"/>
      <c r="H519" s="51"/>
      <c r="I519" s="51"/>
      <c r="J519" s="51"/>
      <c r="K519"/>
      <c r="L519" s="66"/>
      <c r="N519" s="66"/>
      <c r="O519" s="68"/>
      <c r="Q519" s="2"/>
      <c r="R519"/>
      <c r="S519"/>
    </row>
    <row r="520" spans="1:19" s="67" customFormat="1" ht="26.25" customHeight="1" x14ac:dyDescent="0.35">
      <c r="A520" s="1"/>
      <c r="B520"/>
      <c r="C520" s="1"/>
      <c r="D520"/>
      <c r="E520"/>
      <c r="F520"/>
      <c r="G520"/>
      <c r="H520" s="51"/>
      <c r="I520" s="51"/>
      <c r="J520" s="51"/>
      <c r="K520"/>
      <c r="L520" s="66"/>
      <c r="N520" s="66"/>
      <c r="O520" s="68"/>
      <c r="Q520" s="2"/>
      <c r="R520"/>
      <c r="S520"/>
    </row>
    <row r="521" spans="1:19" s="67" customFormat="1" ht="26.25" customHeight="1" x14ac:dyDescent="0.35">
      <c r="A521" s="1"/>
      <c r="B521"/>
      <c r="C521" s="1"/>
      <c r="D521"/>
      <c r="E521"/>
      <c r="F521"/>
      <c r="G521"/>
      <c r="H521" s="51"/>
      <c r="I521" s="51"/>
      <c r="J521" s="51"/>
      <c r="K521"/>
      <c r="L521" s="66"/>
      <c r="N521" s="66"/>
      <c r="O521" s="68"/>
      <c r="Q521" s="2"/>
      <c r="R521"/>
      <c r="S521"/>
    </row>
    <row r="522" spans="1:19" s="67" customFormat="1" ht="26.25" customHeight="1" x14ac:dyDescent="0.35">
      <c r="A522" s="1"/>
      <c r="B522"/>
      <c r="C522" s="1"/>
      <c r="D522"/>
      <c r="E522"/>
      <c r="F522"/>
      <c r="G522"/>
      <c r="H522" s="51"/>
      <c r="I522" s="51"/>
      <c r="J522" s="51"/>
      <c r="K522"/>
      <c r="L522" s="66"/>
      <c r="N522" s="66"/>
      <c r="O522" s="68"/>
      <c r="Q522" s="2"/>
      <c r="R522"/>
      <c r="S522"/>
    </row>
    <row r="523" spans="1:19" s="67" customFormat="1" ht="26.25" customHeight="1" x14ac:dyDescent="0.35">
      <c r="A523" s="1"/>
      <c r="B523"/>
      <c r="C523" s="1"/>
      <c r="D523"/>
      <c r="E523"/>
      <c r="F523"/>
      <c r="G523"/>
      <c r="H523" s="51"/>
      <c r="I523" s="51"/>
      <c r="J523" s="51"/>
      <c r="K523"/>
      <c r="L523" s="66"/>
      <c r="N523" s="66"/>
      <c r="O523" s="68"/>
      <c r="Q523" s="2"/>
      <c r="R523"/>
      <c r="S523"/>
    </row>
    <row r="524" spans="1:19" s="67" customFormat="1" ht="26.25" customHeight="1" x14ac:dyDescent="0.35">
      <c r="A524" s="1"/>
      <c r="B524"/>
      <c r="C524" s="1"/>
      <c r="D524"/>
      <c r="E524"/>
      <c r="F524"/>
      <c r="G524"/>
      <c r="H524" s="51"/>
      <c r="I524" s="51"/>
      <c r="J524" s="51"/>
      <c r="K524"/>
      <c r="L524" s="66"/>
      <c r="N524" s="66"/>
      <c r="O524" s="68"/>
      <c r="Q524" s="2"/>
      <c r="R524"/>
      <c r="S524"/>
    </row>
    <row r="525" spans="1:19" s="67" customFormat="1" ht="26.25" customHeight="1" x14ac:dyDescent="0.35">
      <c r="A525" s="1"/>
      <c r="B525"/>
      <c r="C525" s="1"/>
      <c r="D525"/>
      <c r="E525"/>
      <c r="F525"/>
      <c r="G525"/>
      <c r="H525" s="51"/>
      <c r="I525" s="51"/>
      <c r="J525" s="51"/>
      <c r="K525"/>
      <c r="L525" s="66"/>
      <c r="N525" s="66"/>
      <c r="O525" s="68"/>
      <c r="Q525" s="2"/>
      <c r="R525"/>
      <c r="S525"/>
    </row>
    <row r="526" spans="1:19" s="67" customFormat="1" ht="26.25" customHeight="1" x14ac:dyDescent="0.35">
      <c r="A526" s="1"/>
      <c r="B526"/>
      <c r="C526" s="1"/>
      <c r="D526"/>
      <c r="E526"/>
      <c r="F526"/>
      <c r="G526"/>
      <c r="H526" s="51"/>
      <c r="I526" s="51"/>
      <c r="J526" s="51"/>
      <c r="K526"/>
      <c r="L526" s="66"/>
      <c r="N526" s="66"/>
      <c r="O526" s="68"/>
      <c r="Q526" s="2"/>
      <c r="R526"/>
      <c r="S526"/>
    </row>
    <row r="527" spans="1:19" s="67" customFormat="1" ht="26.25" customHeight="1" x14ac:dyDescent="0.35">
      <c r="A527" s="1"/>
      <c r="B527"/>
      <c r="C527" s="1"/>
      <c r="D527"/>
      <c r="E527"/>
      <c r="F527"/>
      <c r="G527"/>
      <c r="H527" s="51"/>
      <c r="I527" s="51"/>
      <c r="J527" s="51"/>
      <c r="K527"/>
      <c r="L527" s="66"/>
      <c r="N527" s="66"/>
      <c r="O527" s="68"/>
      <c r="Q527" s="2"/>
      <c r="R527"/>
      <c r="S527"/>
    </row>
    <row r="528" spans="1:19" s="67" customFormat="1" ht="26.25" customHeight="1" x14ac:dyDescent="0.35">
      <c r="A528" s="1"/>
      <c r="B528"/>
      <c r="C528" s="1"/>
      <c r="D528"/>
      <c r="E528"/>
      <c r="F528"/>
      <c r="G528"/>
      <c r="H528" s="51"/>
      <c r="I528" s="51"/>
      <c r="J528" s="51"/>
      <c r="K528"/>
      <c r="L528" s="66"/>
      <c r="N528" s="66"/>
      <c r="O528" s="68"/>
      <c r="Q528" s="2"/>
      <c r="R528"/>
      <c r="S528"/>
    </row>
    <row r="529" spans="1:19" s="67" customFormat="1" ht="26.25" customHeight="1" x14ac:dyDescent="0.35">
      <c r="A529" s="1"/>
      <c r="B529"/>
      <c r="C529" s="1"/>
      <c r="D529"/>
      <c r="E529"/>
      <c r="F529"/>
      <c r="G529"/>
      <c r="H529" s="51"/>
      <c r="I529" s="51"/>
      <c r="J529" s="51"/>
      <c r="K529"/>
      <c r="L529" s="66"/>
      <c r="N529" s="66"/>
      <c r="O529" s="68"/>
      <c r="Q529" s="2"/>
      <c r="R529"/>
      <c r="S529"/>
    </row>
    <row r="530" spans="1:19" s="67" customFormat="1" ht="26.25" customHeight="1" x14ac:dyDescent="0.35">
      <c r="A530" s="1"/>
      <c r="B530"/>
      <c r="C530" s="1"/>
      <c r="D530"/>
      <c r="E530"/>
      <c r="F530"/>
      <c r="G530"/>
      <c r="H530" s="51"/>
      <c r="I530" s="51"/>
      <c r="J530" s="51"/>
      <c r="K530"/>
      <c r="L530" s="66"/>
      <c r="N530" s="66"/>
      <c r="O530" s="68"/>
      <c r="Q530" s="2"/>
      <c r="R530"/>
      <c r="S530"/>
    </row>
    <row r="531" spans="1:19" s="67" customFormat="1" ht="26.25" customHeight="1" x14ac:dyDescent="0.35">
      <c r="A531" s="1"/>
      <c r="B531"/>
      <c r="C531" s="1"/>
      <c r="D531"/>
      <c r="E531"/>
      <c r="F531"/>
      <c r="G531"/>
      <c r="H531" s="51"/>
      <c r="I531" s="51"/>
      <c r="J531" s="51"/>
      <c r="K531"/>
      <c r="L531" s="66"/>
      <c r="N531" s="66"/>
      <c r="O531" s="68"/>
      <c r="Q531" s="2"/>
      <c r="R531"/>
      <c r="S531"/>
    </row>
    <row r="532" spans="1:19" s="67" customFormat="1" ht="26.25" customHeight="1" x14ac:dyDescent="0.35">
      <c r="A532" s="1"/>
      <c r="B532"/>
      <c r="C532" s="1"/>
      <c r="D532"/>
      <c r="E532"/>
      <c r="F532"/>
      <c r="G532"/>
      <c r="H532" s="51"/>
      <c r="I532" s="51"/>
      <c r="J532" s="51"/>
      <c r="K532"/>
      <c r="L532" s="66"/>
      <c r="N532" s="66"/>
      <c r="O532" s="68"/>
      <c r="Q532" s="2"/>
      <c r="R532"/>
      <c r="S532"/>
    </row>
    <row r="533" spans="1:19" s="67" customFormat="1" ht="26.25" customHeight="1" x14ac:dyDescent="0.35">
      <c r="A533" s="1"/>
      <c r="B533"/>
      <c r="C533" s="1"/>
      <c r="D533"/>
      <c r="E533"/>
      <c r="F533"/>
      <c r="G533"/>
      <c r="H533" s="51"/>
      <c r="I533" s="51"/>
      <c r="J533" s="51"/>
      <c r="K533"/>
      <c r="L533" s="66"/>
      <c r="N533" s="66"/>
      <c r="O533" s="68"/>
      <c r="Q533" s="2"/>
      <c r="R533"/>
      <c r="S533"/>
    </row>
    <row r="534" spans="1:19" s="67" customFormat="1" ht="26.25" customHeight="1" x14ac:dyDescent="0.35">
      <c r="A534" s="1"/>
      <c r="B534"/>
      <c r="C534" s="1"/>
      <c r="D534"/>
      <c r="E534"/>
      <c r="F534"/>
      <c r="G534"/>
      <c r="H534" s="51"/>
      <c r="I534" s="51"/>
      <c r="J534" s="51"/>
      <c r="K534"/>
      <c r="L534" s="66"/>
      <c r="N534" s="66"/>
      <c r="O534" s="68"/>
      <c r="Q534" s="2"/>
      <c r="R534"/>
      <c r="S534"/>
    </row>
    <row r="535" spans="1:19" s="67" customFormat="1" ht="26.25" customHeight="1" x14ac:dyDescent="0.35">
      <c r="A535" s="1"/>
      <c r="B535"/>
      <c r="C535" s="1"/>
      <c r="D535"/>
      <c r="E535"/>
      <c r="F535"/>
      <c r="G535"/>
      <c r="H535" s="51"/>
      <c r="I535" s="51"/>
      <c r="J535" s="51"/>
      <c r="K535"/>
      <c r="L535" s="66"/>
      <c r="N535" s="66"/>
      <c r="O535" s="68"/>
      <c r="Q535" s="2"/>
      <c r="R535"/>
      <c r="S535"/>
    </row>
    <row r="536" spans="1:19" s="67" customFormat="1" ht="26.25" customHeight="1" x14ac:dyDescent="0.35">
      <c r="A536" s="1"/>
      <c r="B536"/>
      <c r="C536" s="1"/>
      <c r="D536"/>
      <c r="E536"/>
      <c r="F536"/>
      <c r="G536"/>
      <c r="H536" s="51"/>
      <c r="I536" s="51"/>
      <c r="J536" s="51"/>
      <c r="K536"/>
      <c r="L536" s="66"/>
      <c r="N536" s="66"/>
      <c r="O536" s="68"/>
      <c r="Q536" s="2"/>
      <c r="R536"/>
      <c r="S536"/>
    </row>
    <row r="537" spans="1:19" s="67" customFormat="1" ht="26.25" customHeight="1" x14ac:dyDescent="0.35">
      <c r="A537" s="1"/>
      <c r="B537"/>
      <c r="C537" s="1"/>
      <c r="D537"/>
      <c r="E537"/>
      <c r="F537"/>
      <c r="G537"/>
      <c r="H537" s="51"/>
      <c r="I537" s="51"/>
      <c r="J537" s="51"/>
      <c r="K537"/>
      <c r="L537" s="66"/>
      <c r="N537" s="66"/>
      <c r="O537" s="68"/>
      <c r="Q537" s="2"/>
      <c r="R537"/>
      <c r="S537"/>
    </row>
    <row r="538" spans="1:19" s="67" customFormat="1" ht="26.25" customHeight="1" x14ac:dyDescent="0.35">
      <c r="A538" s="1"/>
      <c r="B538"/>
      <c r="C538" s="1"/>
      <c r="D538"/>
      <c r="E538"/>
      <c r="F538"/>
      <c r="G538"/>
      <c r="H538" s="51"/>
      <c r="I538" s="51"/>
      <c r="J538" s="51"/>
      <c r="K538"/>
      <c r="L538" s="66"/>
      <c r="N538" s="66"/>
      <c r="O538" s="68"/>
      <c r="Q538" s="2"/>
      <c r="R538"/>
      <c r="S538"/>
    </row>
    <row r="539" spans="1:19" s="67" customFormat="1" ht="26.25" customHeight="1" x14ac:dyDescent="0.35">
      <c r="A539" s="1"/>
      <c r="B539"/>
      <c r="C539" s="1"/>
      <c r="D539"/>
      <c r="E539"/>
      <c r="F539"/>
      <c r="G539"/>
      <c r="H539" s="51"/>
      <c r="I539" s="51"/>
      <c r="J539" s="51"/>
      <c r="K539"/>
      <c r="L539" s="66"/>
      <c r="N539" s="66"/>
      <c r="O539" s="68"/>
      <c r="Q539" s="2"/>
      <c r="R539"/>
      <c r="S539"/>
    </row>
    <row r="540" spans="1:19" s="67" customFormat="1" ht="26.25" customHeight="1" x14ac:dyDescent="0.35">
      <c r="A540" s="1"/>
      <c r="B540"/>
      <c r="C540" s="1"/>
      <c r="D540"/>
      <c r="E540"/>
      <c r="F540"/>
      <c r="G540"/>
      <c r="H540" s="51"/>
      <c r="I540" s="51"/>
      <c r="J540" s="51"/>
      <c r="K540"/>
      <c r="L540" s="66"/>
      <c r="N540" s="66"/>
      <c r="O540" s="68"/>
      <c r="Q540" s="2"/>
      <c r="R540"/>
      <c r="S540"/>
    </row>
    <row r="541" spans="1:19" s="67" customFormat="1" ht="26.25" customHeight="1" x14ac:dyDescent="0.35">
      <c r="A541" s="1"/>
      <c r="B541"/>
      <c r="C541" s="1"/>
      <c r="D541"/>
      <c r="E541"/>
      <c r="F541"/>
      <c r="G541"/>
      <c r="H541" s="51"/>
      <c r="I541" s="51"/>
      <c r="J541" s="51"/>
      <c r="K541"/>
      <c r="L541" s="66"/>
      <c r="N541" s="66"/>
      <c r="O541" s="68"/>
      <c r="Q541" s="2"/>
      <c r="R541"/>
      <c r="S541"/>
    </row>
    <row r="542" spans="1:19" s="67" customFormat="1" ht="26.25" customHeight="1" x14ac:dyDescent="0.35">
      <c r="A542" s="1"/>
      <c r="B542"/>
      <c r="C542" s="1"/>
      <c r="D542"/>
      <c r="E542"/>
      <c r="F542"/>
      <c r="G542"/>
      <c r="H542" s="51"/>
      <c r="I542" s="51"/>
      <c r="J542" s="51"/>
      <c r="K542"/>
      <c r="L542" s="66"/>
      <c r="N542" s="66"/>
      <c r="O542" s="68"/>
      <c r="Q542" s="2"/>
      <c r="R542"/>
      <c r="S542"/>
    </row>
    <row r="543" spans="1:19" s="67" customFormat="1" ht="26.25" customHeight="1" x14ac:dyDescent="0.35">
      <c r="A543" s="1"/>
      <c r="B543"/>
      <c r="C543" s="1"/>
      <c r="D543"/>
      <c r="E543"/>
      <c r="F543"/>
      <c r="G543"/>
      <c r="H543" s="51"/>
      <c r="I543" s="51"/>
      <c r="J543" s="51"/>
      <c r="K543"/>
      <c r="L543" s="66"/>
      <c r="N543" s="66"/>
      <c r="O543" s="68"/>
      <c r="Q543" s="2"/>
      <c r="R543"/>
      <c r="S543"/>
    </row>
    <row r="544" spans="1:19" s="67" customFormat="1" ht="26.25" customHeight="1" x14ac:dyDescent="0.35">
      <c r="A544" s="1"/>
      <c r="B544"/>
      <c r="C544" s="1"/>
      <c r="D544"/>
      <c r="E544"/>
      <c r="F544"/>
      <c r="G544"/>
      <c r="H544" s="51"/>
      <c r="I544" s="51"/>
      <c r="J544" s="51"/>
      <c r="K544"/>
      <c r="L544" s="66"/>
      <c r="N544" s="66"/>
      <c r="O544" s="68"/>
      <c r="Q544" s="2"/>
      <c r="R544"/>
      <c r="S544"/>
    </row>
    <row r="545" spans="1:19" s="67" customFormat="1" ht="26.25" customHeight="1" x14ac:dyDescent="0.35">
      <c r="A545" s="1"/>
      <c r="B545"/>
      <c r="C545" s="1"/>
      <c r="D545"/>
      <c r="E545"/>
      <c r="F545"/>
      <c r="G545"/>
      <c r="H545" s="51"/>
      <c r="I545" s="51"/>
      <c r="J545" s="51"/>
      <c r="K545"/>
      <c r="L545" s="66"/>
      <c r="N545" s="66"/>
      <c r="O545" s="68"/>
      <c r="Q545" s="2"/>
      <c r="R545"/>
      <c r="S545"/>
    </row>
    <row r="546" spans="1:19" s="67" customFormat="1" ht="26.25" customHeight="1" x14ac:dyDescent="0.35">
      <c r="A546" s="1"/>
      <c r="B546"/>
      <c r="C546" s="1"/>
      <c r="D546"/>
      <c r="E546"/>
      <c r="F546"/>
      <c r="G546"/>
      <c r="H546" s="51"/>
      <c r="I546" s="51"/>
      <c r="J546" s="51"/>
      <c r="K546"/>
      <c r="L546" s="66"/>
      <c r="N546" s="66"/>
      <c r="O546" s="68"/>
      <c r="Q546" s="2"/>
      <c r="R546"/>
      <c r="S546"/>
    </row>
    <row r="547" spans="1:19" s="67" customFormat="1" ht="26.25" customHeight="1" x14ac:dyDescent="0.35">
      <c r="A547" s="1"/>
      <c r="B547"/>
      <c r="C547" s="1"/>
      <c r="D547"/>
      <c r="E547"/>
      <c r="F547"/>
      <c r="G547"/>
      <c r="H547" s="51"/>
      <c r="I547" s="51"/>
      <c r="J547" s="51"/>
      <c r="K547"/>
      <c r="L547" s="66"/>
      <c r="N547" s="66"/>
      <c r="O547" s="68"/>
      <c r="Q547" s="2"/>
      <c r="R547"/>
      <c r="S547"/>
    </row>
    <row r="548" spans="1:19" s="67" customFormat="1" ht="26.25" customHeight="1" x14ac:dyDescent="0.35">
      <c r="A548" s="1"/>
      <c r="B548"/>
      <c r="C548" s="1"/>
      <c r="D548"/>
      <c r="E548"/>
      <c r="F548"/>
      <c r="G548"/>
      <c r="H548" s="51"/>
      <c r="I548" s="51"/>
      <c r="J548" s="51"/>
      <c r="K548"/>
      <c r="L548" s="66"/>
      <c r="N548" s="66"/>
      <c r="O548" s="68"/>
      <c r="Q548" s="2"/>
      <c r="R548"/>
      <c r="S548"/>
    </row>
    <row r="549" spans="1:19" s="67" customFormat="1" ht="26.25" customHeight="1" x14ac:dyDescent="0.35">
      <c r="A549" s="1"/>
      <c r="B549"/>
      <c r="C549" s="1"/>
      <c r="D549"/>
      <c r="E549"/>
      <c r="F549"/>
      <c r="G549"/>
      <c r="H549" s="51"/>
      <c r="I549" s="51"/>
      <c r="J549" s="51"/>
      <c r="K549"/>
      <c r="L549" s="66"/>
      <c r="N549" s="66"/>
      <c r="O549" s="68"/>
      <c r="Q549" s="2"/>
      <c r="R549"/>
      <c r="S549"/>
    </row>
    <row r="550" spans="1:19" s="67" customFormat="1" ht="26.25" customHeight="1" x14ac:dyDescent="0.35">
      <c r="A550" s="1"/>
      <c r="B550"/>
      <c r="C550" s="1"/>
      <c r="D550"/>
      <c r="E550"/>
      <c r="F550"/>
      <c r="G550"/>
      <c r="H550" s="51"/>
      <c r="I550" s="51"/>
      <c r="J550" s="51"/>
      <c r="K550"/>
      <c r="L550" s="66"/>
      <c r="N550" s="66"/>
      <c r="O550" s="68"/>
      <c r="Q550" s="2"/>
      <c r="R550"/>
      <c r="S550"/>
    </row>
    <row r="551" spans="1:19" s="67" customFormat="1" ht="26.25" customHeight="1" x14ac:dyDescent="0.35">
      <c r="A551" s="1"/>
      <c r="B551"/>
      <c r="C551" s="1"/>
      <c r="D551"/>
      <c r="E551"/>
      <c r="F551"/>
      <c r="G551"/>
      <c r="H551" s="51"/>
      <c r="I551" s="51"/>
      <c r="J551" s="51"/>
      <c r="K551"/>
      <c r="L551" s="66"/>
      <c r="N551" s="66"/>
      <c r="O551" s="68"/>
      <c r="Q551" s="2"/>
      <c r="R551"/>
      <c r="S551"/>
    </row>
    <row r="552" spans="1:19" s="67" customFormat="1" ht="26.25" customHeight="1" x14ac:dyDescent="0.35">
      <c r="A552" s="1"/>
      <c r="B552"/>
      <c r="C552" s="1"/>
      <c r="D552"/>
      <c r="E552"/>
      <c r="F552"/>
      <c r="G552"/>
      <c r="H552" s="51"/>
      <c r="I552" s="51"/>
      <c r="J552" s="51"/>
      <c r="K552"/>
      <c r="L552" s="66"/>
      <c r="N552" s="66"/>
      <c r="O552" s="68"/>
      <c r="Q552" s="2"/>
      <c r="R552"/>
      <c r="S552"/>
    </row>
    <row r="553" spans="1:19" s="67" customFormat="1" ht="26.25" customHeight="1" x14ac:dyDescent="0.35">
      <c r="A553" s="1"/>
      <c r="B553"/>
      <c r="C553" s="1"/>
      <c r="D553"/>
      <c r="E553"/>
      <c r="F553"/>
      <c r="G553"/>
      <c r="H553" s="51"/>
      <c r="I553" s="51"/>
      <c r="J553" s="51"/>
      <c r="K553"/>
      <c r="L553" s="66"/>
      <c r="N553" s="66"/>
      <c r="O553" s="68"/>
      <c r="Q553" s="2"/>
      <c r="R553"/>
      <c r="S553"/>
    </row>
    <row r="554" spans="1:19" s="67" customFormat="1" ht="26.25" customHeight="1" x14ac:dyDescent="0.35">
      <c r="A554" s="1"/>
      <c r="B554"/>
      <c r="C554" s="1"/>
      <c r="D554"/>
      <c r="E554"/>
      <c r="F554"/>
      <c r="G554"/>
      <c r="H554" s="51"/>
      <c r="I554" s="51"/>
      <c r="J554" s="51"/>
      <c r="K554"/>
      <c r="L554" s="66"/>
      <c r="N554" s="66"/>
      <c r="O554" s="68"/>
      <c r="Q554" s="2"/>
      <c r="R554"/>
      <c r="S554"/>
    </row>
    <row r="555" spans="1:19" s="67" customFormat="1" ht="26.25" customHeight="1" x14ac:dyDescent="0.35">
      <c r="A555" s="1"/>
      <c r="B555"/>
      <c r="C555" s="1"/>
      <c r="D555"/>
      <c r="E555"/>
      <c r="F555"/>
      <c r="G555"/>
      <c r="H555" s="51"/>
      <c r="I555" s="51"/>
      <c r="J555" s="51"/>
      <c r="K555"/>
      <c r="L555" s="66"/>
      <c r="N555" s="66"/>
      <c r="O555" s="68"/>
      <c r="Q555" s="2"/>
      <c r="R555"/>
      <c r="S555"/>
    </row>
    <row r="556" spans="1:19" s="67" customFormat="1" ht="26.25" customHeight="1" x14ac:dyDescent="0.35">
      <c r="A556" s="1"/>
      <c r="B556"/>
      <c r="C556" s="1"/>
      <c r="D556"/>
      <c r="E556"/>
      <c r="F556"/>
      <c r="G556"/>
      <c r="H556" s="51"/>
      <c r="I556" s="51"/>
      <c r="J556" s="51"/>
      <c r="K556"/>
      <c r="L556" s="66"/>
      <c r="N556" s="66"/>
      <c r="O556" s="68"/>
      <c r="Q556" s="2"/>
      <c r="R556"/>
      <c r="S556"/>
    </row>
    <row r="557" spans="1:19" s="67" customFormat="1" ht="26.25" customHeight="1" x14ac:dyDescent="0.35">
      <c r="A557" s="1"/>
      <c r="B557"/>
      <c r="C557" s="1"/>
      <c r="D557"/>
      <c r="E557"/>
      <c r="F557"/>
      <c r="G557"/>
      <c r="H557" s="51"/>
      <c r="I557" s="51"/>
      <c r="J557" s="51"/>
      <c r="K557"/>
      <c r="L557" s="66"/>
      <c r="N557" s="66"/>
      <c r="O557" s="68"/>
      <c r="Q557" s="2"/>
      <c r="R557"/>
      <c r="S557"/>
    </row>
    <row r="558" spans="1:19" s="67" customFormat="1" ht="26.25" customHeight="1" x14ac:dyDescent="0.35">
      <c r="A558" s="1"/>
      <c r="B558"/>
      <c r="C558" s="1"/>
      <c r="D558"/>
      <c r="E558"/>
      <c r="F558"/>
      <c r="G558"/>
      <c r="H558" s="51"/>
      <c r="I558" s="51"/>
      <c r="J558" s="51"/>
      <c r="K558"/>
      <c r="L558" s="66"/>
      <c r="N558" s="66"/>
      <c r="O558" s="68"/>
      <c r="Q558" s="2"/>
      <c r="R558"/>
      <c r="S558"/>
    </row>
    <row r="559" spans="1:19" s="67" customFormat="1" ht="26.25" customHeight="1" x14ac:dyDescent="0.35">
      <c r="A559" s="1"/>
      <c r="B559"/>
      <c r="C559" s="1"/>
      <c r="D559"/>
      <c r="E559"/>
      <c r="F559"/>
      <c r="G559"/>
      <c r="H559" s="51"/>
      <c r="I559" s="51"/>
      <c r="J559" s="51"/>
      <c r="K559"/>
      <c r="L559" s="66"/>
      <c r="N559" s="66"/>
      <c r="O559" s="68"/>
      <c r="Q559" s="2"/>
      <c r="R559"/>
      <c r="S559"/>
    </row>
    <row r="560" spans="1:19" s="67" customFormat="1" ht="26.25" customHeight="1" x14ac:dyDescent="0.35">
      <c r="A560" s="1"/>
      <c r="B560"/>
      <c r="C560" s="1"/>
      <c r="D560"/>
      <c r="E560"/>
      <c r="F560"/>
      <c r="G560"/>
      <c r="H560" s="51"/>
      <c r="I560" s="51"/>
      <c r="J560" s="51"/>
      <c r="K560"/>
      <c r="L560" s="66"/>
      <c r="N560" s="66"/>
      <c r="O560" s="68"/>
      <c r="Q560" s="2"/>
      <c r="R560"/>
      <c r="S560"/>
    </row>
    <row r="561" spans="1:19" s="67" customFormat="1" ht="26.25" customHeight="1" x14ac:dyDescent="0.35">
      <c r="A561" s="1"/>
      <c r="B561"/>
      <c r="C561" s="1"/>
      <c r="D561"/>
      <c r="E561"/>
      <c r="F561"/>
      <c r="G561"/>
      <c r="H561" s="51"/>
      <c r="I561" s="51"/>
      <c r="J561" s="51"/>
      <c r="K561"/>
      <c r="L561" s="66"/>
      <c r="N561" s="66"/>
      <c r="O561" s="68"/>
      <c r="Q561" s="2"/>
      <c r="R561"/>
      <c r="S561"/>
    </row>
    <row r="562" spans="1:19" s="67" customFormat="1" ht="26.25" customHeight="1" x14ac:dyDescent="0.35">
      <c r="A562" s="1"/>
      <c r="B562"/>
      <c r="C562" s="1"/>
      <c r="D562"/>
      <c r="E562"/>
      <c r="F562"/>
      <c r="G562"/>
      <c r="H562" s="51"/>
      <c r="I562" s="51"/>
      <c r="J562" s="51"/>
      <c r="K562"/>
      <c r="L562" s="66"/>
      <c r="N562" s="66"/>
      <c r="O562" s="68"/>
      <c r="Q562" s="2"/>
      <c r="R562"/>
      <c r="S562"/>
    </row>
    <row r="563" spans="1:19" s="67" customFormat="1" ht="26.25" customHeight="1" x14ac:dyDescent="0.35">
      <c r="A563" s="1"/>
      <c r="B563"/>
      <c r="C563" s="1"/>
      <c r="D563"/>
      <c r="E563"/>
      <c r="F563"/>
      <c r="G563"/>
      <c r="H563" s="51"/>
      <c r="I563" s="51"/>
      <c r="J563" s="51"/>
      <c r="K563"/>
      <c r="L563" s="66"/>
      <c r="N563" s="66"/>
      <c r="O563" s="68"/>
      <c r="Q563" s="2"/>
      <c r="R563"/>
      <c r="S563"/>
    </row>
    <row r="564" spans="1:19" s="67" customFormat="1" ht="26.25" customHeight="1" x14ac:dyDescent="0.35">
      <c r="A564" s="1"/>
      <c r="B564"/>
      <c r="C564" s="1"/>
      <c r="D564"/>
      <c r="E564"/>
      <c r="F564"/>
      <c r="G564"/>
      <c r="H564" s="51"/>
      <c r="I564" s="51"/>
      <c r="J564" s="51"/>
      <c r="K564"/>
      <c r="L564" s="66"/>
      <c r="N564" s="66"/>
      <c r="O564" s="68"/>
      <c r="Q564" s="2"/>
      <c r="R564"/>
      <c r="S564"/>
    </row>
    <row r="565" spans="1:19" s="67" customFormat="1" ht="26.25" customHeight="1" x14ac:dyDescent="0.35">
      <c r="A565" s="1"/>
      <c r="B565"/>
      <c r="C565" s="1"/>
      <c r="D565"/>
      <c r="E565"/>
      <c r="F565"/>
      <c r="G565"/>
      <c r="H565" s="51"/>
      <c r="I565" s="51"/>
      <c r="J565" s="51"/>
      <c r="K565"/>
      <c r="L565" s="66"/>
      <c r="N565" s="66"/>
      <c r="O565" s="68"/>
      <c r="Q565" s="2"/>
      <c r="R565"/>
      <c r="S565"/>
    </row>
    <row r="566" spans="1:19" s="67" customFormat="1" ht="26.25" customHeight="1" x14ac:dyDescent="0.35">
      <c r="A566" s="1"/>
      <c r="B566"/>
      <c r="C566" s="1"/>
      <c r="D566"/>
      <c r="E566"/>
      <c r="F566"/>
      <c r="G566"/>
      <c r="H566" s="51"/>
      <c r="I566" s="51"/>
      <c r="J566" s="51"/>
      <c r="K566"/>
      <c r="L566" s="66"/>
      <c r="N566" s="66"/>
      <c r="O566" s="68"/>
      <c r="Q566" s="2"/>
      <c r="R566"/>
      <c r="S566"/>
    </row>
    <row r="567" spans="1:19" s="67" customFormat="1" ht="26.25" customHeight="1" x14ac:dyDescent="0.35">
      <c r="A567" s="1"/>
      <c r="B567"/>
      <c r="C567" s="1"/>
      <c r="D567"/>
      <c r="E567"/>
      <c r="F567"/>
      <c r="G567"/>
      <c r="H567" s="51"/>
      <c r="I567" s="51"/>
      <c r="J567" s="51"/>
      <c r="K567"/>
      <c r="L567" s="66"/>
      <c r="N567" s="66"/>
      <c r="O567" s="68"/>
      <c r="Q567" s="2"/>
      <c r="R567"/>
      <c r="S567"/>
    </row>
    <row r="568" spans="1:19" s="67" customFormat="1" ht="26.25" customHeight="1" x14ac:dyDescent="0.35">
      <c r="A568" s="1"/>
      <c r="B568"/>
      <c r="C568" s="1"/>
      <c r="D568"/>
      <c r="E568"/>
      <c r="F568"/>
      <c r="G568"/>
      <c r="H568" s="51"/>
      <c r="I568" s="51"/>
      <c r="J568" s="51"/>
      <c r="K568"/>
      <c r="L568" s="66"/>
      <c r="N568" s="66"/>
      <c r="O568" s="68"/>
      <c r="Q568" s="2"/>
      <c r="R568"/>
      <c r="S568"/>
    </row>
    <row r="569" spans="1:19" s="67" customFormat="1" ht="26.25" customHeight="1" x14ac:dyDescent="0.35">
      <c r="A569" s="1"/>
      <c r="B569"/>
      <c r="C569" s="1"/>
      <c r="D569"/>
      <c r="E569"/>
      <c r="F569"/>
      <c r="G569"/>
      <c r="H569" s="51"/>
      <c r="I569" s="51"/>
      <c r="J569" s="51"/>
      <c r="K569"/>
      <c r="L569" s="66"/>
      <c r="N569" s="66"/>
      <c r="O569" s="68"/>
      <c r="Q569" s="2"/>
      <c r="R569"/>
      <c r="S569"/>
    </row>
    <row r="570" spans="1:19" s="67" customFormat="1" ht="26.25" customHeight="1" x14ac:dyDescent="0.35">
      <c r="A570" s="1"/>
      <c r="B570"/>
      <c r="C570" s="1"/>
      <c r="D570"/>
      <c r="E570"/>
      <c r="F570"/>
      <c r="G570"/>
      <c r="H570" s="51"/>
      <c r="I570" s="51"/>
      <c r="J570" s="51"/>
      <c r="K570"/>
      <c r="L570" s="66"/>
      <c r="N570" s="66"/>
      <c r="O570" s="68"/>
      <c r="Q570" s="2"/>
      <c r="R570"/>
      <c r="S570"/>
    </row>
    <row r="571" spans="1:19" s="67" customFormat="1" ht="26.25" customHeight="1" x14ac:dyDescent="0.35">
      <c r="A571" s="1"/>
      <c r="B571"/>
      <c r="C571" s="1"/>
      <c r="D571"/>
      <c r="E571"/>
      <c r="F571"/>
      <c r="G571"/>
      <c r="H571" s="51"/>
      <c r="I571" s="51"/>
      <c r="J571" s="51"/>
      <c r="K571"/>
      <c r="L571" s="66"/>
      <c r="N571" s="66"/>
      <c r="O571" s="68"/>
      <c r="Q571" s="2"/>
      <c r="R571"/>
      <c r="S571"/>
    </row>
    <row r="572" spans="1:19" s="67" customFormat="1" ht="26.25" customHeight="1" x14ac:dyDescent="0.35">
      <c r="A572" s="1"/>
      <c r="B572"/>
      <c r="C572" s="1"/>
      <c r="D572"/>
      <c r="E572"/>
      <c r="F572"/>
      <c r="G572"/>
      <c r="H572" s="51"/>
      <c r="I572" s="51"/>
      <c r="J572" s="51"/>
      <c r="K572"/>
      <c r="L572" s="66"/>
      <c r="N572" s="66"/>
      <c r="O572" s="68"/>
      <c r="Q572" s="2"/>
      <c r="R572"/>
      <c r="S572"/>
    </row>
    <row r="573" spans="1:19" s="67" customFormat="1" ht="26.25" customHeight="1" x14ac:dyDescent="0.35">
      <c r="A573" s="1"/>
      <c r="B573"/>
      <c r="C573" s="1"/>
      <c r="D573"/>
      <c r="E573"/>
      <c r="F573"/>
      <c r="G573"/>
      <c r="H573" s="51"/>
      <c r="I573" s="51"/>
      <c r="J573" s="51"/>
      <c r="K573"/>
      <c r="L573" s="66"/>
      <c r="N573" s="66"/>
      <c r="O573" s="68"/>
      <c r="Q573" s="2"/>
      <c r="R573"/>
      <c r="S573"/>
    </row>
    <row r="574" spans="1:19" s="67" customFormat="1" ht="26.25" customHeight="1" x14ac:dyDescent="0.35">
      <c r="A574" s="1"/>
      <c r="B574"/>
      <c r="C574" s="1"/>
      <c r="D574"/>
      <c r="E574"/>
      <c r="F574"/>
      <c r="G574"/>
      <c r="H574" s="51"/>
      <c r="I574" s="51"/>
      <c r="J574" s="51"/>
      <c r="K574"/>
      <c r="L574" s="66"/>
      <c r="N574" s="66"/>
      <c r="O574" s="68"/>
      <c r="Q574" s="2"/>
      <c r="R574"/>
      <c r="S574"/>
    </row>
    <row r="575" spans="1:19" s="67" customFormat="1" ht="26.25" customHeight="1" x14ac:dyDescent="0.35">
      <c r="A575" s="1"/>
      <c r="B575"/>
      <c r="C575" s="1"/>
      <c r="D575"/>
      <c r="E575"/>
      <c r="F575"/>
      <c r="G575"/>
      <c r="H575" s="51"/>
      <c r="I575" s="51"/>
      <c r="J575" s="51"/>
      <c r="K575"/>
      <c r="L575" s="66"/>
      <c r="N575" s="66"/>
      <c r="O575" s="68"/>
      <c r="Q575" s="2"/>
      <c r="R575"/>
      <c r="S575"/>
    </row>
    <row r="576" spans="1:19" s="67" customFormat="1" ht="26.25" customHeight="1" x14ac:dyDescent="0.35">
      <c r="A576" s="1"/>
      <c r="B576"/>
      <c r="C576" s="1"/>
      <c r="D576"/>
      <c r="E576"/>
      <c r="F576"/>
      <c r="G576"/>
      <c r="H576" s="51"/>
      <c r="I576" s="51"/>
      <c r="J576" s="51"/>
      <c r="K576"/>
      <c r="L576" s="66"/>
      <c r="N576" s="66"/>
      <c r="O576" s="68"/>
      <c r="Q576" s="2"/>
      <c r="R576"/>
      <c r="S576"/>
    </row>
    <row r="577" spans="1:19" s="67" customFormat="1" ht="26.25" customHeight="1" x14ac:dyDescent="0.35">
      <c r="A577" s="1"/>
      <c r="B577"/>
      <c r="C577" s="1"/>
      <c r="D577"/>
      <c r="E577"/>
      <c r="F577"/>
      <c r="G577"/>
      <c r="H577" s="51"/>
      <c r="I577" s="51"/>
      <c r="J577" s="51"/>
      <c r="K577"/>
      <c r="L577" s="66"/>
      <c r="N577" s="66"/>
      <c r="O577" s="68"/>
      <c r="Q577" s="2"/>
      <c r="R577"/>
      <c r="S577"/>
    </row>
    <row r="578" spans="1:19" s="67" customFormat="1" ht="26.25" customHeight="1" x14ac:dyDescent="0.35">
      <c r="A578" s="1"/>
      <c r="B578"/>
      <c r="C578" s="1"/>
      <c r="D578"/>
      <c r="E578"/>
      <c r="F578"/>
      <c r="G578"/>
      <c r="H578" s="51"/>
      <c r="I578" s="51"/>
      <c r="J578" s="51"/>
      <c r="K578"/>
      <c r="L578" s="66"/>
      <c r="N578" s="66"/>
      <c r="O578" s="68"/>
      <c r="Q578" s="2"/>
      <c r="R578"/>
      <c r="S578"/>
    </row>
    <row r="579" spans="1:19" s="67" customFormat="1" ht="26.25" customHeight="1" x14ac:dyDescent="0.35">
      <c r="A579" s="1"/>
      <c r="B579"/>
      <c r="C579" s="1"/>
      <c r="D579"/>
      <c r="E579"/>
      <c r="F579"/>
      <c r="G579"/>
      <c r="H579" s="51"/>
      <c r="I579" s="51"/>
      <c r="J579" s="51"/>
      <c r="K579"/>
      <c r="L579" s="66"/>
      <c r="N579" s="66"/>
      <c r="O579" s="68"/>
      <c r="Q579" s="2"/>
      <c r="R579"/>
      <c r="S579"/>
    </row>
    <row r="580" spans="1:19" s="67" customFormat="1" ht="26.25" customHeight="1" x14ac:dyDescent="0.35">
      <c r="A580" s="1"/>
      <c r="B580"/>
      <c r="C580" s="1"/>
      <c r="D580"/>
      <c r="E580"/>
      <c r="F580"/>
      <c r="G580"/>
      <c r="H580" s="51"/>
      <c r="I580" s="51"/>
      <c r="J580" s="51"/>
      <c r="K580"/>
      <c r="L580" s="66"/>
      <c r="N580" s="66"/>
      <c r="O580" s="68"/>
      <c r="Q580" s="2"/>
      <c r="R580"/>
      <c r="S580"/>
    </row>
    <row r="581" spans="1:19" s="67" customFormat="1" ht="26.25" customHeight="1" x14ac:dyDescent="0.35">
      <c r="A581" s="1"/>
      <c r="B581"/>
      <c r="C581" s="1"/>
      <c r="D581"/>
      <c r="E581"/>
      <c r="F581"/>
      <c r="G581"/>
      <c r="H581" s="51"/>
      <c r="I581" s="51"/>
      <c r="J581" s="51"/>
      <c r="K581"/>
      <c r="L581" s="66"/>
      <c r="N581" s="66"/>
      <c r="O581" s="68"/>
      <c r="Q581" s="2"/>
      <c r="R581"/>
      <c r="S581"/>
    </row>
    <row r="582" spans="1:19" s="67" customFormat="1" ht="26.25" customHeight="1" x14ac:dyDescent="0.35">
      <c r="A582" s="1"/>
      <c r="B582"/>
      <c r="C582" s="1"/>
      <c r="D582"/>
      <c r="E582"/>
      <c r="F582"/>
      <c r="G582"/>
      <c r="H582" s="51"/>
      <c r="I582" s="51"/>
      <c r="J582" s="51"/>
      <c r="K582"/>
      <c r="L582" s="66"/>
      <c r="N582" s="66"/>
      <c r="O582" s="68"/>
      <c r="Q582" s="2"/>
      <c r="R582"/>
      <c r="S582"/>
    </row>
    <row r="583" spans="1:19" s="67" customFormat="1" ht="26.25" customHeight="1" x14ac:dyDescent="0.35">
      <c r="A583" s="1"/>
      <c r="B583"/>
      <c r="C583" s="1"/>
      <c r="D583"/>
      <c r="E583"/>
      <c r="F583"/>
      <c r="G583"/>
      <c r="H583" s="51"/>
      <c r="I583" s="51"/>
      <c r="J583" s="51"/>
      <c r="K583"/>
      <c r="L583" s="66"/>
      <c r="N583" s="66"/>
      <c r="O583" s="68"/>
      <c r="Q583" s="2"/>
      <c r="R583"/>
      <c r="S583"/>
    </row>
    <row r="584" spans="1:19" s="67" customFormat="1" ht="26.25" customHeight="1" x14ac:dyDescent="0.35">
      <c r="A584" s="1"/>
      <c r="B584"/>
      <c r="C584" s="1"/>
      <c r="D584"/>
      <c r="E584"/>
      <c r="F584"/>
      <c r="G584"/>
      <c r="H584" s="51"/>
      <c r="I584" s="51"/>
      <c r="J584" s="51"/>
      <c r="K584"/>
      <c r="L584" s="66"/>
      <c r="N584" s="66"/>
      <c r="O584" s="68"/>
      <c r="Q584" s="2"/>
      <c r="R584"/>
      <c r="S584"/>
    </row>
    <row r="585" spans="1:19" s="67" customFormat="1" ht="26.25" customHeight="1" x14ac:dyDescent="0.35">
      <c r="A585" s="1"/>
      <c r="B585"/>
      <c r="C585" s="1"/>
      <c r="D585"/>
      <c r="E585"/>
      <c r="F585"/>
      <c r="G585"/>
      <c r="H585" s="51"/>
      <c r="I585" s="51"/>
      <c r="J585" s="51"/>
      <c r="K585"/>
      <c r="L585" s="66"/>
      <c r="N585" s="66"/>
      <c r="O585" s="68"/>
      <c r="Q585" s="2"/>
      <c r="R585"/>
      <c r="S585"/>
    </row>
  </sheetData>
  <mergeCells count="122">
    <mergeCell ref="A314:A320"/>
    <mergeCell ref="G314:G320"/>
    <mergeCell ref="A321:A324"/>
    <mergeCell ref="G321:G324"/>
    <mergeCell ref="J321:J324"/>
    <mergeCell ref="A325:A337"/>
    <mergeCell ref="G325:G337"/>
    <mergeCell ref="J325:J335"/>
    <mergeCell ref="A286:A288"/>
    <mergeCell ref="A289:A292"/>
    <mergeCell ref="A295:A312"/>
    <mergeCell ref="G295:G299"/>
    <mergeCell ref="J295:J312"/>
    <mergeCell ref="G301:G302"/>
    <mergeCell ref="G307:G310"/>
    <mergeCell ref="F308:F309"/>
    <mergeCell ref="A359:G359"/>
    <mergeCell ref="B362:N362"/>
    <mergeCell ref="M365:N365"/>
    <mergeCell ref="A360:C360"/>
    <mergeCell ref="K365:L365"/>
    <mergeCell ref="A339:A347"/>
    <mergeCell ref="G339:G347"/>
    <mergeCell ref="J339:J347"/>
    <mergeCell ref="A348:A358"/>
    <mergeCell ref="G348:G357"/>
    <mergeCell ref="J348:J357"/>
    <mergeCell ref="D355:D357"/>
    <mergeCell ref="E355:E357"/>
    <mergeCell ref="A255:A275"/>
    <mergeCell ref="I255:I275"/>
    <mergeCell ref="D263:D272"/>
    <mergeCell ref="A276:C276"/>
    <mergeCell ref="A277:P277"/>
    <mergeCell ref="A279:A285"/>
    <mergeCell ref="D279:D285"/>
    <mergeCell ref="G279:G285"/>
    <mergeCell ref="J279:J285"/>
    <mergeCell ref="E281:E282"/>
    <mergeCell ref="A217:P217"/>
    <mergeCell ref="A219:A245"/>
    <mergeCell ref="O244:O245"/>
    <mergeCell ref="P244:P245"/>
    <mergeCell ref="A246:A254"/>
    <mergeCell ref="H246:H249"/>
    <mergeCell ref="I246:I249"/>
    <mergeCell ref="J246:J249"/>
    <mergeCell ref="A193:A194"/>
    <mergeCell ref="A195:A198"/>
    <mergeCell ref="A199:A214"/>
    <mergeCell ref="B199:B200"/>
    <mergeCell ref="D209:D214"/>
    <mergeCell ref="A215:G215"/>
    <mergeCell ref="K183:K187"/>
    <mergeCell ref="L183:L187"/>
    <mergeCell ref="M183:M187"/>
    <mergeCell ref="N183:N187"/>
    <mergeCell ref="O183:O187"/>
    <mergeCell ref="P183:P187"/>
    <mergeCell ref="A171:A191"/>
    <mergeCell ref="H176:H178"/>
    <mergeCell ref="I176:I178"/>
    <mergeCell ref="J176:J178"/>
    <mergeCell ref="G182:G189"/>
    <mergeCell ref="H183:H187"/>
    <mergeCell ref="I183:I187"/>
    <mergeCell ref="J183:J187"/>
    <mergeCell ref="A127:A128"/>
    <mergeCell ref="A129:A147"/>
    <mergeCell ref="G130:G132"/>
    <mergeCell ref="A148:G148"/>
    <mergeCell ref="A151:A168"/>
    <mergeCell ref="E158:E160"/>
    <mergeCell ref="F158:F161"/>
    <mergeCell ref="G158:G161"/>
    <mergeCell ref="D167:D168"/>
    <mergeCell ref="E167:E168"/>
    <mergeCell ref="A92:G92"/>
    <mergeCell ref="A96:A116"/>
    <mergeCell ref="G107:G108"/>
    <mergeCell ref="A117:A125"/>
    <mergeCell ref="G117:G118"/>
    <mergeCell ref="G119:G121"/>
    <mergeCell ref="A84:A91"/>
    <mergeCell ref="E84:E87"/>
    <mergeCell ref="F84:F85"/>
    <mergeCell ref="G84:G89"/>
    <mergeCell ref="I84:I89"/>
    <mergeCell ref="F86:F89"/>
    <mergeCell ref="A62:A74"/>
    <mergeCell ref="F62:F68"/>
    <mergeCell ref="G62:G74"/>
    <mergeCell ref="I62:I74"/>
    <mergeCell ref="F69:F71"/>
    <mergeCell ref="A76:A83"/>
    <mergeCell ref="E76:E77"/>
    <mergeCell ref="G76:G81"/>
    <mergeCell ref="I76:I83"/>
    <mergeCell ref="A45:A61"/>
    <mergeCell ref="F45:F51"/>
    <mergeCell ref="G45:G51"/>
    <mergeCell ref="I45:I59"/>
    <mergeCell ref="G52:G59"/>
    <mergeCell ref="F56:F58"/>
    <mergeCell ref="A16:A43"/>
    <mergeCell ref="F16:F23"/>
    <mergeCell ref="G16:G43"/>
    <mergeCell ref="I16:I43"/>
    <mergeCell ref="F26:F27"/>
    <mergeCell ref="F35:F36"/>
    <mergeCell ref="F39:F40"/>
    <mergeCell ref="A1:P1"/>
    <mergeCell ref="A2:P2"/>
    <mergeCell ref="A5:P5"/>
    <mergeCell ref="A7:P7"/>
    <mergeCell ref="A10:A11"/>
    <mergeCell ref="A13:A14"/>
    <mergeCell ref="E13:E14"/>
    <mergeCell ref="F13:F14"/>
    <mergeCell ref="G13:G14"/>
    <mergeCell ref="H13:H14"/>
    <mergeCell ref="A3:P3"/>
  </mergeCells>
  <pageMargins left="0.75" right="0.75" top="1" bottom="1" header="0.5" footer="0.5"/>
  <pageSetup paperSize="9"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 D'ACTION 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Omar KASSE</cp:lastModifiedBy>
  <dcterms:created xsi:type="dcterms:W3CDTF">2017-02-09T13:06:34Z</dcterms:created>
  <dcterms:modified xsi:type="dcterms:W3CDTF">2024-10-03T07:58:16Z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cbd6a694-9ac7-49df-a2d6-080348f90a07</vt:lpwstr>
  </property>
</Properties>
</file>